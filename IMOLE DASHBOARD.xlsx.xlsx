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2.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SI\Documents\MY EXCEL\"/>
    </mc:Choice>
  </mc:AlternateContent>
  <xr:revisionPtr revIDLastSave="0" documentId="13_ncr:1_{1B244A3D-FAB2-4A72-8D4D-129C92F4CAFD}" xr6:coauthVersionLast="47" xr6:coauthVersionMax="47" xr10:uidLastSave="{00000000-0000-0000-0000-000000000000}"/>
  <bookViews>
    <workbookView xWindow="-108" yWindow="-108" windowWidth="23256" windowHeight="12456" activeTab="3" xr2:uid="{4EB88C8E-12B1-4247-B2E4-B402A1BC1973}"/>
  </bookViews>
  <sheets>
    <sheet name="diabetes" sheetId="1" r:id="rId1"/>
    <sheet name="DATASET" sheetId="2" r:id="rId2"/>
    <sheet name="ANALYSIS 1" sheetId="6" r:id="rId3"/>
    <sheet name="DASHBOARD" sheetId="4" r:id="rId4"/>
  </sheets>
  <definedNames>
    <definedName name="_xlnm._FilterDatabase" localSheetId="1" hidden="1">DATASET!$A$1:$L$769</definedName>
    <definedName name="_xlcn.WorksheetConnection_diabetes.csvTable11" hidden="1">Table1[]</definedName>
    <definedName name="Slicer_Age_Group">#N/A</definedName>
    <definedName name="Slicer_BMI_Category">#N/A</definedName>
    <definedName name="Slicer_Glucose_Category">#N/A</definedName>
  </definedNames>
  <calcPr calcId="191029"/>
  <pivotCaches>
    <pivotCache cacheId="804" r:id="rId5"/>
    <pivotCache cacheId="1265" r:id="rId6"/>
    <pivotCache cacheId="1268" r:id="rId7"/>
    <pivotCache cacheId="1271" r:id="rId8"/>
    <pivotCache cacheId="1277" r:id="rId9"/>
    <pivotCache cacheId="1280" r:id="rId10"/>
    <pivotCache cacheId="1283" r:id="rId11"/>
    <pivotCache cacheId="1286" r:id="rId12"/>
    <pivotCache cacheId="1289" r:id="rId13"/>
    <pivotCache cacheId="1292" r:id="rId14"/>
  </pivotCaches>
  <extLst>
    <ext xmlns:x14="http://schemas.microsoft.com/office/spreadsheetml/2009/9/main" uri="{876F7934-8845-4945-9796-88D515C7AA90}">
      <x14:pivotCaches>
        <pivotCache cacheId="807"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841E416B-1EF1-43b6-AB56-02D37102CBD5}">
      <x15:pivotCaches>
        <pivotCache cacheId="1274" r:id="rId19"/>
      </x15:pivotCaches>
    </ext>
    <ext xmlns:x15="http://schemas.microsoft.com/office/spreadsheetml/2010/11/main" uri="{983426D0-5260-488c-9760-48F4B6AC55F4}">
      <x15:pivotTableReferences>
        <x15:pivotTableReference r:id="rId20"/>
      </x15:pivotTableReferences>
    </ext>
    <ext xmlns:x15="http://schemas.microsoft.com/office/spreadsheetml/2010/11/main" uri="{FCE2AD5D-F65C-4FA6-A056-5C36A1767C68}">
      <x15:dataModel>
        <x15:modelTables>
          <x15:modelTable id="Table1" name="Table1" connection="WorksheetConnection_diabetes.csv!Table1"/>
        </x15:modelTables>
      </x15:dataModel>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EAE25F-5DEA-4736-ACC5-566460C0DDA5}"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2" xr16:uid="{CA64A531-FEDD-44F8-A431-718EDDAD15D5}" name="WorksheetConnection_diabetes.csv!Table1" type="102" refreshedVersion="8" minRefreshableVersion="5">
    <extLst>
      <ext xmlns:x15="http://schemas.microsoft.com/office/spreadsheetml/2010/11/main" uri="{DE250136-89BD-433C-8126-D09CA5730AF9}">
        <x15:connection id="Table1" autoDelete="1">
          <x15:rangePr sourceName="_xlcn.WorksheetConnection_diabetes.csvTable11"/>
        </x15:connection>
      </ext>
    </extLst>
  </connection>
</connections>
</file>

<file path=xl/sharedStrings.xml><?xml version="1.0" encoding="utf-8"?>
<sst xmlns="http://schemas.openxmlformats.org/spreadsheetml/2006/main" count="88" uniqueCount="51">
  <si>
    <t>Pregnancies</t>
  </si>
  <si>
    <t>Glucose</t>
  </si>
  <si>
    <t>BloodPressure</t>
  </si>
  <si>
    <t>SkinThickness</t>
  </si>
  <si>
    <t>Insulin</t>
  </si>
  <si>
    <t>BMI</t>
  </si>
  <si>
    <t>DiabetesPedigreeFunction</t>
  </si>
  <si>
    <t>Age</t>
  </si>
  <si>
    <t>Outcome</t>
  </si>
  <si>
    <t>Avg Glucose Level</t>
  </si>
  <si>
    <t>Total Patients</t>
  </si>
  <si>
    <t>Total Diabetic Patients</t>
  </si>
  <si>
    <t>Avg Pregnancies</t>
  </si>
  <si>
    <t>Obese Patients (BMI ≥ 30)</t>
  </si>
  <si>
    <t>High Glucose Patients (&gt;140)</t>
  </si>
  <si>
    <t xml:space="preserve">Diabetes Rate % </t>
  </si>
  <si>
    <t>Total Non-Diabetic Patients</t>
  </si>
  <si>
    <t>Avg BMI</t>
  </si>
  <si>
    <t>Avg Age</t>
  </si>
  <si>
    <t>KPIs</t>
  </si>
  <si>
    <t>Middle Age Patients(30–50)</t>
  </si>
  <si>
    <t>Young Patients (&lt;30)</t>
  </si>
  <si>
    <t>Older Patients (&gt;50)</t>
  </si>
  <si>
    <t>Obese Diabetic</t>
  </si>
  <si>
    <t>Grand Total</t>
  </si>
  <si>
    <t>Age Group</t>
  </si>
  <si>
    <t>BMI Category</t>
  </si>
  <si>
    <t>Glucose Category</t>
  </si>
  <si>
    <t>Row Labels</t>
  </si>
  <si>
    <t>Middle Age (30-50)</t>
  </si>
  <si>
    <t>Older (&gt;50)</t>
  </si>
  <si>
    <t>Young (&lt;30)</t>
  </si>
  <si>
    <t>Normal</t>
  </si>
  <si>
    <t>High Risk</t>
  </si>
  <si>
    <t>Prediabetes</t>
  </si>
  <si>
    <t>Avg Glucose</t>
  </si>
  <si>
    <t>Count of Glucose</t>
  </si>
  <si>
    <t>Count of BMI</t>
  </si>
  <si>
    <t>Glucose Category by Outcome</t>
  </si>
  <si>
    <t>Diabetes by Age group</t>
  </si>
  <si>
    <t>Diabetes Status</t>
  </si>
  <si>
    <t>Average Glucose by Outcome</t>
  </si>
  <si>
    <r>
      <t>BMI Analysis by Outcome:</t>
    </r>
    <r>
      <rPr>
        <sz val="11"/>
        <color theme="1"/>
        <rFont val="Calibri"/>
        <family val="2"/>
        <scheme val="minor"/>
      </rPr>
      <t xml:space="preserve"> The average BMI of diabetic patients (Outcome = 1) is higher than that of non-diabetic patients (Outcome = 0), suggesting a positive relationship between increased body mass index and diabetes occurrence.</t>
    </r>
  </si>
  <si>
    <t>Avg Blood Pressure</t>
  </si>
  <si>
    <t>Avg Insulin</t>
  </si>
  <si>
    <t>Blood pressure</t>
  </si>
  <si>
    <t>Risk Factor</t>
  </si>
  <si>
    <t xml:space="preserve">Non-Diabetes </t>
  </si>
  <si>
    <t xml:space="preserve">Diabetes </t>
  </si>
  <si>
    <t>Average BMI by Outcome</t>
  </si>
  <si>
    <t>Average Insulin by 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</si>
</sst>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Times New Roman"/>
      <family val="1"/>
    </font>
    <font>
      <b/>
      <sz val="12"/>
      <name val="Times New Roman"/>
      <family val="1"/>
    </font>
    <font>
      <sz val="12"/>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4"/>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0" fillId="33" borderId="0" xfId="0" applyFill="1"/>
    <xf numFmtId="164" fontId="0" fillId="33" borderId="0" xfId="0" applyNumberFormat="1" applyFill="1"/>
    <xf numFmtId="0" fontId="0" fillId="34" borderId="0" xfId="0" applyFill="1"/>
    <xf numFmtId="2" fontId="0" fillId="33" borderId="0" xfId="0" applyNumberFormat="1" applyFill="1"/>
    <xf numFmtId="165" fontId="0" fillId="33" borderId="0" xfId="0" applyNumberFormat="1" applyFill="1"/>
    <xf numFmtId="1" fontId="0" fillId="33" borderId="0" xfId="0" applyNumberFormat="1" applyFill="1"/>
    <xf numFmtId="0" fontId="0" fillId="0" borderId="0" xfId="0" applyAlignment="1">
      <alignment horizontal="left"/>
    </xf>
    <xf numFmtId="0" fontId="16" fillId="0" borderId="0" xfId="0" applyFont="1" applyAlignment="1">
      <alignment horizontal="center"/>
    </xf>
    <xf numFmtId="0" fontId="0" fillId="0" borderId="0" xfId="0" applyAlignment="1">
      <alignment horizontal="center"/>
    </xf>
    <xf numFmtId="0" fontId="0" fillId="0" borderId="0" xfId="0" applyNumberFormat="1"/>
    <xf numFmtId="165" fontId="0" fillId="0" borderId="0" xfId="0" applyNumberFormat="1"/>
    <xf numFmtId="2" fontId="0" fillId="0" borderId="0" xfId="0" applyNumberFormat="1"/>
    <xf numFmtId="0" fontId="0" fillId="33" borderId="0" xfId="0" applyNumberFormat="1" applyFill="1"/>
    <xf numFmtId="0" fontId="0" fillId="34" borderId="0" xfId="0" applyNumberFormat="1" applyFill="1"/>
    <xf numFmtId="0" fontId="0" fillId="0" borderId="0" xfId="0" pivotButton="1"/>
    <xf numFmtId="0" fontId="0" fillId="34" borderId="0" xfId="0" applyFill="1" applyAlignment="1">
      <alignment horizontal="left"/>
    </xf>
    <xf numFmtId="0" fontId="16" fillId="0" borderId="0" xfId="0" applyFont="1"/>
    <xf numFmtId="2" fontId="0" fillId="34" borderId="0" xfId="0" applyNumberFormat="1" applyFill="1"/>
    <xf numFmtId="165" fontId="0" fillId="34" borderId="0" xfId="0" applyNumberFormat="1" applyFill="1"/>
    <xf numFmtId="0" fontId="18" fillId="0" borderId="0" xfId="0" applyFont="1"/>
    <xf numFmtId="0" fontId="16" fillId="33" borderId="0" xfId="0" applyFont="1" applyFill="1"/>
    <xf numFmtId="0" fontId="19" fillId="0" borderId="0" xfId="0" applyFont="1"/>
    <xf numFmtId="0" fontId="19" fillId="33" borderId="0" xfId="0" applyFont="1" applyFill="1"/>
    <xf numFmtId="0" fontId="16" fillId="34" borderId="0" xfId="0" applyFont="1" applyFill="1" applyAlignment="1">
      <alignment horizontal="center"/>
    </xf>
    <xf numFmtId="0" fontId="16" fillId="34" borderId="0" xfId="0" applyFont="1" applyFill="1" applyAlignment="1">
      <alignment horizontal="left"/>
    </xf>
    <xf numFmtId="0" fontId="16" fillId="34" borderId="0" xfId="0" applyNumberFormat="1" applyFont="1" applyFill="1"/>
    <xf numFmtId="0" fontId="20" fillId="0" borderId="0" xfId="0" applyFont="1"/>
    <xf numFmtId="0" fontId="20" fillId="33" borderId="0" xfId="0" applyFont="1" applyFill="1"/>
    <xf numFmtId="0" fontId="20" fillId="35" borderId="12" xfId="0" applyFont="1" applyFill="1" applyBorder="1"/>
    <xf numFmtId="0" fontId="20" fillId="0" borderId="12" xfId="0" applyFont="1" applyBorder="1"/>
    <xf numFmtId="0" fontId="20" fillId="35" borderId="11" xfId="0" applyFont="1" applyFill="1" applyBorder="1"/>
    <xf numFmtId="0" fontId="20" fillId="36" borderId="10"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84">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bgColor theme="4" tint="0.39997558519241921"/>
        </patternFill>
      </fill>
    </dxf>
    <dxf>
      <fill>
        <patternFill>
          <bgColor theme="4" tint="0.39997558519241921"/>
        </patternFill>
      </fill>
    </dxf>
    <dxf>
      <numFmt numFmtId="2" formatCode="0.00"/>
    </dxf>
    <dxf>
      <numFmt numFmtId="165" formatCode="0.0"/>
    </dxf>
    <dxf>
      <numFmt numFmtId="2" formatCode="0.00"/>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numFmt numFmtId="165" formatCode="0.0"/>
    </dxf>
    <dxf>
      <numFmt numFmtId="2" formatCode="0.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2" formatCode="0.00"/>
    </dxf>
    <dxf>
      <numFmt numFmtId="165" formatCode="0.0"/>
    </dxf>
    <dxf>
      <numFmt numFmtId="170" formatCode="0.000"/>
    </dxf>
    <dxf>
      <numFmt numFmtId="169" formatCode="0.0000"/>
    </dxf>
    <dxf>
      <numFmt numFmtId="168" formatCode="0.00000"/>
    </dxf>
    <dxf>
      <numFmt numFmtId="167" formatCode="0.000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numFmt numFmtId="2" formatCode="0.00"/>
    </dxf>
    <dxf>
      <numFmt numFmtId="2" formatCode="0.00"/>
    </dxf>
    <dxf>
      <numFmt numFmtId="2" formatCode="0.00"/>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numFmt numFmtId="165" formatCode="0.0"/>
    </dxf>
    <dxf>
      <numFmt numFmtId="2" formatCode="0.00"/>
    </dxf>
    <dxf>
      <numFmt numFmtId="2" formatCode="0.00"/>
    </dxf>
    <dxf>
      <numFmt numFmtId="2" formatCode="0.00"/>
    </dxf>
    <dxf>
      <numFmt numFmtId="170" formatCode="0.000"/>
    </dxf>
    <dxf>
      <numFmt numFmtId="2" formatCode="0.00"/>
    </dxf>
    <dxf>
      <numFmt numFmtId="169" formatCode="0.0000"/>
    </dxf>
    <dxf>
      <numFmt numFmtId="2" formatCode="0.00"/>
    </dxf>
    <dxf>
      <numFmt numFmtId="2" formatCode="0.00"/>
    </dxf>
    <dxf>
      <font>
        <b val="0"/>
        <i val="0"/>
        <strike val="0"/>
        <condense val="0"/>
        <extend val="0"/>
        <outline val="0"/>
        <shadow val="0"/>
        <u val="none"/>
        <vertAlign val="baseline"/>
        <sz val="12"/>
        <color auto="1"/>
        <name val="Times New Roman"/>
        <family val="1"/>
        <scheme val="none"/>
      </font>
      <fill>
        <patternFill patternType="solid">
          <fgColor theme="4" tint="0.79998168889431442"/>
          <bgColor theme="4"/>
        </patternFill>
      </fill>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bgColor theme="4"/>
        </patternFill>
      </fill>
    </dxf>
    <dxf>
      <fill>
        <patternFill patternType="solid">
          <bgColor theme="4"/>
        </patternFill>
      </fill>
    </dxf>
    <dxf>
      <numFmt numFmtId="2" formatCode="0.00"/>
    </dxf>
    <dxf>
      <numFmt numFmtId="164" formatCode="0.0%"/>
    </dxf>
    <dxf>
      <numFmt numFmtId="2" formatCode="0.00"/>
    </dxf>
    <dxf>
      <numFmt numFmtId="165" formatCode="0.0"/>
    </dxf>
    <dxf>
      <numFmt numFmtId="1" formatCode="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ill>
        <patternFill>
          <bgColor theme="4"/>
        </patternFill>
      </fill>
    </dxf>
    <dxf>
      <font>
        <b/>
      </font>
    </dxf>
    <dxf>
      <font>
        <b/>
      </font>
    </dxf>
    <dxf>
      <font>
        <b/>
      </font>
    </dxf>
    <dxf>
      <font>
        <b/>
      </font>
    </dxf>
    <dxf>
      <font>
        <b/>
      </font>
    </dxf>
    <dxf>
      <font>
        <b/>
      </font>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numFmt numFmtId="165" formatCode="0.0"/>
    </dxf>
    <dxf>
      <fill>
        <patternFill>
          <bgColor theme="4" tint="0.39997558519241921"/>
        </patternFill>
      </fill>
    </dxf>
    <dxf>
      <fill>
        <patternFill>
          <bgColor theme="4" tint="0.39997558519241921"/>
        </patternFill>
      </fill>
    </dxf>
    <dxf>
      <numFmt numFmtId="165" formatCode="0.0"/>
    </dxf>
    <dxf>
      <numFmt numFmtId="2" formatCode="0.00"/>
    </dxf>
    <dxf>
      <numFmt numFmtId="2" formatCode="0.00"/>
    </dxf>
    <dxf>
      <numFmt numFmtId="2" formatCode="0.00"/>
    </dxf>
    <dxf>
      <font>
        <b val="0"/>
        <i val="0"/>
        <strike val="0"/>
        <u val="none"/>
        <sz val="11"/>
        <color theme="0"/>
        <name val="Times New Roman"/>
        <family val="1"/>
        <scheme val="none"/>
      </font>
      <fill>
        <patternFill patternType="solid">
          <fgColor theme="4"/>
          <bgColor theme="4"/>
        </patternFill>
      </fill>
      <border diagonalUp="0" diagonalDown="1">
        <left/>
        <right/>
        <top/>
        <bottom/>
        <diagonal style="thin">
          <color auto="1"/>
        </diagonal>
        <vertical/>
        <horizontal/>
      </border>
    </dxf>
    <dxf>
      <numFmt numFmtId="0" formatCode="General"/>
    </dxf>
    <dxf>
      <numFmt numFmtId="0" formatCode="General"/>
    </dxf>
    <dxf>
      <numFmt numFmtId="0" formatCode="General"/>
    </dxf>
    <dxf>
      <font>
        <b val="0"/>
        <i val="0"/>
        <u val="none"/>
        <sz val="9"/>
        <color theme="0"/>
      </font>
      <fill>
        <patternFill patternType="solid">
          <fgColor theme="4"/>
          <bgColor theme="4"/>
        </patternFill>
      </fill>
      <border diagonalUp="0" diagonalDown="0">
        <left/>
        <right/>
        <top/>
        <bottom/>
        <vertical/>
        <horizontal/>
      </border>
    </dxf>
    <dxf>
      <font>
        <b val="0"/>
        <i val="0"/>
        <u/>
        <sz val="9"/>
        <color theme="0"/>
      </font>
      <fill>
        <patternFill patternType="solid">
          <fgColor theme="4"/>
          <bgColor rgb="FF3867C6"/>
        </patternFill>
      </fill>
      <border diagonalUp="0" diagonalDown="0">
        <left/>
        <right/>
        <top/>
        <bottom/>
        <vertical/>
        <horizontal/>
      </border>
    </dxf>
    <dxf>
      <fill>
        <patternFill patternType="solid">
          <fgColor theme="4"/>
          <bgColor theme="4"/>
        </patternFill>
      </fill>
      <border diagonalUp="0" diagonalDown="0">
        <left/>
        <right/>
        <top/>
        <bottom/>
        <vertical/>
        <horizontal/>
      </border>
    </dxf>
  </dxfs>
  <tableStyles count="8" defaultTableStyle="TableStyleMedium2" defaultPivotStyle="PivotStyleLight16">
    <tableStyle name="Invisible" pivot="0" table="0" count="0" xr9:uid="{ECFFC2EA-F1F9-488E-BC4F-713132246530}"/>
    <tableStyle name="Slicer Style 1" pivot="0" table="0" count="1" xr9:uid="{099E5F4D-8053-4FFB-B0CB-8FAF58370966}"/>
    <tableStyle name="Slicer Style 2" pivot="0" table="0" count="1" xr9:uid="{464F3AA2-6926-4B29-8475-A26552153C99}">
      <tableStyleElement type="headerRow" dxfId="883"/>
    </tableStyle>
    <tableStyle name="Slicer Style 3" pivot="0" table="0" count="1" xr9:uid="{7626AC73-EF63-46BB-8200-1FDA4FC9DD3E}">
      <tableStyleElement type="wholeTable" dxfId="882"/>
    </tableStyle>
    <tableStyle name="Slicer Style 4" pivot="0" table="0" count="1" xr9:uid="{41BE5FFF-9AD4-4BC5-A821-5888276B9870}">
      <tableStyleElement type="wholeTable" dxfId="881"/>
    </tableStyle>
    <tableStyle name="Slicer Style 5" pivot="0" table="0" count="1" xr9:uid="{D7F5B55E-6410-4C6B-9A96-5DB2F6F92FD9}"/>
    <tableStyle name="Slicer Style 6" pivot="0" table="0" count="1" xr9:uid="{A424F918-F4B7-4364-B333-B699815E7C77}"/>
    <tableStyle name="Slicer Style 7" pivot="0" table="0" count="1" xr9:uid="{B8981200-379B-47A8-83BC-A325F803F224}">
      <tableStyleElement type="wholeTable" dxfId="877"/>
    </tableStyle>
  </tableStyles>
  <colors>
    <mruColors>
      <color rgb="FF284780"/>
      <color rgb="FF3867C6"/>
      <color rgb="FF0B0327"/>
      <color rgb="FFD60093"/>
      <color rgb="FF5B4C3F"/>
      <color rgb="FF0000FF"/>
      <color rgb="FF88486B"/>
    </mruColors>
  </colors>
  <extLst>
    <ext xmlns:x14="http://schemas.microsoft.com/office/spreadsheetml/2009/9/main" uri="{46F421CA-312F-682f-3DD2-61675219B42D}">
      <x14:dxfs count="3">
        <dxf>
          <fill>
            <patternFill patternType="solid">
              <fgColor theme="4"/>
              <bgColor theme="4"/>
            </patternFill>
          </fill>
          <border diagonalUp="0" diagonalDown="0">
            <left/>
            <right/>
            <top/>
            <bottom/>
            <vertical/>
            <horizontal/>
          </border>
        </dxf>
        <dxf>
          <font>
            <b val="0"/>
            <i val="0"/>
            <u val="none"/>
            <sz val="10"/>
            <color theme="0"/>
          </font>
          <fill>
            <patternFill patternType="solid">
              <fgColor theme="4"/>
              <bgColor theme="4"/>
            </patternFill>
          </fill>
          <border diagonalUp="0" diagonalDown="0">
            <left style="thin">
              <color theme="4"/>
            </left>
            <right style="thin">
              <color theme="4"/>
            </right>
            <top style="thin">
              <color theme="4"/>
            </top>
            <bottom style="thin">
              <color theme="4"/>
            </bottom>
            <vertical/>
            <horizontal/>
          </border>
        </dxf>
        <dxf>
          <fill>
            <patternFill>
              <bgColor theme="4"/>
            </patternFill>
          </fill>
        </dxf>
      </x14:dxfs>
    </ext>
    <ext xmlns:x14="http://schemas.microsoft.com/office/spreadsheetml/2009/9/main" uri="{EB79DEF2-80B8-43e5-95BD-54CBDDF9020C}">
      <x14:slicerStyles defaultSlicerStyle="Slicer Style 7">
        <x14:slicerStyle name="Slicer Style 1">
          <x14:slicerStyleElements>
            <x14:slicerStyleElement type="selectedItemWithData" dxfId="2"/>
          </x14:slicerStyleElements>
        </x14:slicerStyle>
        <x14:slicerStyle name="Slicer Style 2"/>
        <x14:slicerStyle name="Slicer Style 3"/>
        <x14:slicerStyle name="Slicer Style 4"/>
        <x14:slicerStyle name="Slicer Style 5">
          <x14:slicerStyleElements>
            <x14:slicerStyleElement type="selectedItemWithData" dxfId="1"/>
          </x14:slicerStyleElements>
        </x14:slicerStyle>
        <x14:slicerStyle name="Slicer Style 6">
          <x14:slicerStyleElements>
            <x14:slicerStyleElement type="selectedItemWithNoData" dxfId="0"/>
          </x14:slicerStyleElements>
        </x14:slicerStyle>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55" Type="http://schemas.openxmlformats.org/officeDocument/2006/relationships/customXml" Target="../customXml/item29.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pivotTable" Target="pivotTables/pivotTable1.xml"/><Relationship Id="rId29" Type="http://schemas.openxmlformats.org/officeDocument/2006/relationships/customXml" Target="../customXml/item3.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4.xml"/><Relationship Id="rId51" Type="http://schemas.openxmlformats.org/officeDocument/2006/relationships/customXml" Target="../customXml/item2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[IMOLE DASHBOARD.xlsx.xlsx]ANALYSIS 1!PivotTable1</c:name>
    <c:fmtId val="20"/>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0" i="0" u="none" strike="noStrike" baseline="0">
                <a:solidFill>
                  <a:schemeClr val="bg1"/>
                </a:solidFill>
                <a:latin typeface="Times New Roman" panose="02020603050405020304" pitchFamily="18" charset="0"/>
                <a:cs typeface="Times New Roman" panose="02020603050405020304" pitchFamily="18" charset="0"/>
              </a:rPr>
              <a:t>Diabetes by Age Group</a:t>
            </a:r>
            <a:endParaRPr lang="en-US" sz="2800">
              <a:solidFill>
                <a:schemeClr val="bg1"/>
              </a:solidFill>
              <a:latin typeface="Times New Roman" panose="02020603050405020304" pitchFamily="18" charset="0"/>
              <a:cs typeface="Times New Roman" panose="02020603050405020304" pitchFamily="18" charset="0"/>
            </a:endParaRPr>
          </a:p>
        </c:rich>
      </c:tx>
      <c:layout>
        <c:manualLayout>
          <c:xMode val="edge"/>
          <c:yMode val="edge"/>
          <c:x val="0.32409457626521515"/>
          <c:y val="1.183899341832757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1147474710352"/>
          <c:y val="0.17934804549619396"/>
          <c:w val="0.71119837558228205"/>
          <c:h val="0.72139733788420157"/>
        </c:manualLayout>
      </c:layout>
      <c:barChart>
        <c:barDir val="col"/>
        <c:grouping val="clustered"/>
        <c:varyColors val="0"/>
        <c:ser>
          <c:idx val="0"/>
          <c:order val="0"/>
          <c:tx>
            <c:strRef>
              <c:f>'ANALYSIS 1'!$G$11</c:f>
              <c:strCache>
                <c:ptCount val="1"/>
                <c:pt idx="0">
                  <c:v>Total</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1'!$F$12:$F$15</c:f>
              <c:strCache>
                <c:ptCount val="3"/>
                <c:pt idx="0">
                  <c:v>Middle Age (30-50)</c:v>
                </c:pt>
                <c:pt idx="1">
                  <c:v>Older (&gt;50)</c:v>
                </c:pt>
                <c:pt idx="2">
                  <c:v>Young (&lt;30)</c:v>
                </c:pt>
              </c:strCache>
            </c:strRef>
          </c:cat>
          <c:val>
            <c:numRef>
              <c:f>'ANALYSIS 1'!$G$12:$G$15</c:f>
              <c:numCache>
                <c:formatCode>General</c:formatCode>
                <c:ptCount val="3"/>
                <c:pt idx="0">
                  <c:v>291</c:v>
                </c:pt>
                <c:pt idx="1">
                  <c:v>81</c:v>
                </c:pt>
                <c:pt idx="2">
                  <c:v>396</c:v>
                </c:pt>
              </c:numCache>
            </c:numRef>
          </c:val>
          <c:extLst>
            <c:ext xmlns:c16="http://schemas.microsoft.com/office/drawing/2014/chart" uri="{C3380CC4-5D6E-409C-BE32-E72D297353CC}">
              <c16:uniqueId val="{00000000-3C76-48C7-9BC3-B66DEE03DF86}"/>
            </c:ext>
          </c:extLst>
        </c:ser>
        <c:dLbls>
          <c:dLblPos val="outEnd"/>
          <c:showLegendKey val="0"/>
          <c:showVal val="1"/>
          <c:showCatName val="0"/>
          <c:showSerName val="0"/>
          <c:showPercent val="0"/>
          <c:showBubbleSize val="0"/>
        </c:dLbls>
        <c:gapWidth val="190"/>
        <c:overlap val="14"/>
        <c:axId val="124688319"/>
        <c:axId val="124687959"/>
      </c:barChart>
      <c:catAx>
        <c:axId val="1246883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24687959"/>
        <c:crosses val="autoZero"/>
        <c:auto val="1"/>
        <c:lblAlgn val="ctr"/>
        <c:lblOffset val="100"/>
        <c:noMultiLvlLbl val="0"/>
      </c:catAx>
      <c:valAx>
        <c:axId val="124687959"/>
        <c:scaling>
          <c:orientation val="minMax"/>
        </c:scaling>
        <c:delete val="0"/>
        <c:axPos val="l"/>
        <c:majorGridlines>
          <c:spPr>
            <a:ln w="9525" cap="flat" cmpd="sng" algn="ctr">
              <a:no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2468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r>
              <a:rPr lang="en-US" sz="2000" b="0" i="0" u="none" strike="noStrike" kern="1200" spc="0" baseline="0">
                <a:solidFill>
                  <a:schemeClr val="bg1"/>
                </a:solidFill>
                <a:latin typeface="Times New Roman" panose="02020603050405020304" pitchFamily="18" charset="0"/>
                <a:cs typeface="Times New Roman" panose="02020603050405020304" pitchFamily="18" charset="0"/>
              </a:rPr>
              <a:t>Average Glucose by Outcome</a:t>
            </a:r>
          </a:p>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endParaRPr lang="en-US" sz="2000"/>
          </a:p>
        </c:rich>
      </c:tx>
      <c:layout>
        <c:manualLayout>
          <c:xMode val="edge"/>
          <c:yMode val="edge"/>
          <c:x val="0.2257956851138288"/>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00965438760715"/>
          <c:y val="9.7731239092495634E-2"/>
          <c:w val="0.8302771506708515"/>
          <c:h val="0.82193373734042419"/>
        </c:manualLayout>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High Risk</c:v>
              </c:pt>
              <c:pt idx="1">
                <c:v>Normal</c:v>
              </c:pt>
              <c:pt idx="2">
                <c:v>Prediabetes</c:v>
              </c:pt>
            </c:strLit>
          </c:cat>
          <c:val>
            <c:numLit>
              <c:formatCode>General</c:formatCode>
              <c:ptCount val="3"/>
              <c:pt idx="0">
                <c:v>297</c:v>
              </c:pt>
              <c:pt idx="1">
                <c:v>197</c:v>
              </c:pt>
              <c:pt idx="2">
                <c:v>274</c:v>
              </c:pt>
            </c:numLit>
          </c:val>
          <c:extLst>
            <c:ext xmlns:c16="http://schemas.microsoft.com/office/drawing/2014/chart" uri="{C3380CC4-5D6E-409C-BE32-E72D297353CC}">
              <c16:uniqueId val="{00000000-1EA7-4B89-8D5A-AF90533DAECA}"/>
            </c:ext>
          </c:extLst>
        </c:ser>
        <c:dLbls>
          <c:dLblPos val="outEnd"/>
          <c:showLegendKey val="0"/>
          <c:showVal val="1"/>
          <c:showCatName val="0"/>
          <c:showSerName val="0"/>
          <c:showPercent val="0"/>
          <c:showBubbleSize val="0"/>
        </c:dLbls>
        <c:gapWidth val="88"/>
        <c:overlap val="-54"/>
        <c:axId val="1045640448"/>
        <c:axId val="1045639368"/>
      </c:barChart>
      <c:catAx>
        <c:axId val="1045640448"/>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045639368"/>
        <c:crosses val="autoZero"/>
        <c:auto val="1"/>
        <c:lblAlgn val="ctr"/>
        <c:lblOffset val="100"/>
        <c:noMultiLvlLbl val="0"/>
        <c:extLst>
          <c:ext xmlns:c15="http://schemas.microsoft.com/office/drawing/2012/chart" uri="{F40574EE-89B7-4290-83BB-5DA773EAF853}">
            <c15:numFmt c:formatCode="General" c:sourceLinked="1"/>
          </c:ext>
        </c:extLst>
      </c:catAx>
      <c:valAx>
        <c:axId val="1045639368"/>
        <c:scaling>
          <c:orientation val="minMax"/>
        </c:scaling>
        <c:delete val="0"/>
        <c:axPos val="b"/>
        <c:majorGridlines>
          <c:spPr>
            <a:ln w="9525" cap="flat" cmpd="sng" algn="ctr">
              <a:no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045640448"/>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chart>
  <c:spPr>
    <a:noFill/>
    <a:ln w="9525" cap="flat" cmpd="sng" algn="ctr">
      <a:noFill/>
      <a:round/>
    </a:ln>
    <a:effectLst/>
  </c:spPr>
  <c:txPr>
    <a:bodyPr/>
    <a:lstStyle/>
    <a:p>
      <a:pPr>
        <a:defRPr sz="1000"/>
      </a:pPr>
      <a:endParaRPr lang="en-US"/>
    </a:p>
  </c:txPr>
  <c:extLst>
    <c:ext xmlns:c15="http://schemas.microsoft.com/office/drawing/2012/chart" uri="{723BEF56-08C2-4564-9609-F4CBC75E7E54}">
      <c15:pivotSource>
        <c15:name>[IMOLE DASHBOARD.xlsx.xlsx]PivotChartTable14</c15:name>
        <c15:fmtId val="7"/>
      </c15:pivotSource>
      <c15:pivotOptions>
        <c15:dropZoneFilter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sz="2800" b="0" i="0" u="none" strike="noStrike" baseline="0">
                <a:solidFill>
                  <a:schemeClr val="bg1"/>
                </a:solidFill>
                <a:latin typeface="Times New Roman" panose="02020603050405020304" pitchFamily="18" charset="0"/>
                <a:cs typeface="Times New Roman" panose="02020603050405020304" pitchFamily="18" charset="0"/>
              </a:rPr>
              <a:t>Average BMI by Outcome</a:t>
            </a:r>
            <a:endParaRPr lang="en-US" sz="2800">
              <a:solidFill>
                <a:schemeClr val="bg1"/>
              </a:solidFill>
              <a:latin typeface="Times New Roman" panose="02020603050405020304" pitchFamily="18" charset="0"/>
              <a:cs typeface="Times New Roman" panose="02020603050405020304" pitchFamily="18" charset="0"/>
            </a:endParaRPr>
          </a:p>
        </c:rich>
      </c:tx>
      <c:layout>
        <c:manualLayout>
          <c:xMode val="edge"/>
          <c:yMode val="edge"/>
          <c:x val="0.24008427713659081"/>
          <c:y val="1.6328537108757174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982022795095822E-2"/>
          <c:y val="0.17585643814067214"/>
          <c:w val="0.85586653723079131"/>
          <c:h val="0.74818624056357774"/>
        </c:manualLayout>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0</c:v>
              </c:pt>
              <c:pt idx="1">
                <c:v>1</c:v>
              </c:pt>
            </c:strLit>
          </c:cat>
          <c:val>
            <c:numLit>
              <c:formatCode>General</c:formatCode>
              <c:ptCount val="2"/>
              <c:pt idx="0">
                <c:v>30.304200000000002</c:v>
              </c:pt>
              <c:pt idx="1">
                <c:v>35.14253731343284</c:v>
              </c:pt>
            </c:numLit>
          </c:val>
          <c:extLst>
            <c:ext xmlns:c16="http://schemas.microsoft.com/office/drawing/2014/chart" uri="{C3380CC4-5D6E-409C-BE32-E72D297353CC}">
              <c16:uniqueId val="{00000000-C9AE-4AF9-8211-1F77B09DE389}"/>
            </c:ext>
          </c:extLst>
        </c:ser>
        <c:dLbls>
          <c:dLblPos val="outEnd"/>
          <c:showLegendKey val="0"/>
          <c:showVal val="1"/>
          <c:showCatName val="0"/>
          <c:showSerName val="0"/>
          <c:showPercent val="0"/>
          <c:showBubbleSize val="0"/>
        </c:dLbls>
        <c:gapWidth val="219"/>
        <c:overlap val="-27"/>
        <c:axId val="867561040"/>
        <c:axId val="867560680"/>
      </c:barChart>
      <c:catAx>
        <c:axId val="867561040"/>
        <c:scaling>
          <c:orientation val="minMax"/>
        </c:scaling>
        <c:delete val="1"/>
        <c:axPos val="b"/>
        <c:numFmt formatCode="General" sourceLinked="1"/>
        <c:majorTickMark val="out"/>
        <c:minorTickMark val="none"/>
        <c:tickLblPos val="nextTo"/>
        <c:crossAx val="867560680"/>
        <c:crosses val="autoZero"/>
        <c:auto val="1"/>
        <c:lblAlgn val="ctr"/>
        <c:lblOffset val="100"/>
        <c:noMultiLvlLbl val="0"/>
      </c:catAx>
      <c:valAx>
        <c:axId val="8675606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867561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chemeClr val="bg1"/>
                </a:solidFill>
                <a:latin typeface="Times New Roman" panose="02020603050405020304" pitchFamily="18" charset="0"/>
                <a:cs typeface="Times New Roman" panose="02020603050405020304" pitchFamily="18" charset="0"/>
              </a:rPr>
              <a:t>Risk</a:t>
            </a:r>
            <a:r>
              <a:rPr lang="en-US" sz="2400" baseline="0">
                <a:solidFill>
                  <a:schemeClr val="bg1"/>
                </a:solidFill>
                <a:latin typeface="Times New Roman" panose="02020603050405020304" pitchFamily="18" charset="0"/>
                <a:cs typeface="Times New Roman" panose="02020603050405020304" pitchFamily="18" charset="0"/>
              </a:rPr>
              <a:t> Factors Comparison</a:t>
            </a:r>
            <a:endParaRPr lang="en-US" sz="2400">
              <a:solidFill>
                <a:schemeClr val="bg1"/>
              </a:solidFill>
              <a:latin typeface="Times New Roman" panose="02020603050405020304" pitchFamily="18" charset="0"/>
              <a:cs typeface="Times New Roman" panose="02020603050405020304" pitchFamily="18" charset="0"/>
            </a:endParaRPr>
          </a:p>
        </c:rich>
      </c:tx>
      <c:layout>
        <c:manualLayout>
          <c:xMode val="edge"/>
          <c:yMode val="edge"/>
          <c:x val="0.32805823840985388"/>
          <c:y val="3.52733686067019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9271319533334204E-2"/>
          <c:y val="0.15730172617311722"/>
          <c:w val="0.82318320123777633"/>
          <c:h val="0.74045272118762928"/>
        </c:manualLayout>
      </c:layout>
      <c:lineChart>
        <c:grouping val="standard"/>
        <c:varyColors val="0"/>
        <c:ser>
          <c:idx val="0"/>
          <c:order val="0"/>
          <c:tx>
            <c:strRef>
              <c:f>'ANALYSIS 1'!$B$32</c:f>
              <c:strCache>
                <c:ptCount val="1"/>
                <c:pt idx="0">
                  <c:v>Non-Diabetes </c:v>
                </c:pt>
              </c:strCache>
            </c:strRef>
          </c:tx>
          <c:spPr>
            <a:ln w="28575" cap="rnd">
              <a:solidFill>
                <a:schemeClr val="accent1"/>
              </a:solidFill>
              <a:round/>
            </a:ln>
            <a:effectLst/>
          </c:spPr>
          <c:marker>
            <c:symbol val="none"/>
          </c:marker>
          <c:dLbls>
            <c:dLbl>
              <c:idx val="1"/>
              <c:layout>
                <c:manualLayout>
                  <c:x val="1.0946907498631636E-2"/>
                  <c:y val="0.130511463844797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16-4014-A69D-663961DD34CE}"/>
                </c:ext>
              </c:extLst>
            </c:dLbl>
            <c:dLbl>
              <c:idx val="3"/>
              <c:layout>
                <c:manualLayout>
                  <c:x val="-6.2944718117132009E-2"/>
                  <c:y val="3.17460317460317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16-4014-A69D-663961DD34CE}"/>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rnd" cmpd="sng" algn="ctr">
                      <a:solidFill>
                        <a:schemeClr val="bg1"/>
                      </a:solidFill>
                      <a:bevel/>
                    </a:ln>
                    <a:effectLst/>
                  </c:spPr>
                </c15:leaderLines>
              </c:ext>
            </c:extLst>
          </c:dLbls>
          <c:cat>
            <c:strRef>
              <c:f>'ANALYSIS 1'!$A$33:$A$36</c:f>
              <c:strCache>
                <c:ptCount val="4"/>
                <c:pt idx="0">
                  <c:v>Glucose</c:v>
                </c:pt>
                <c:pt idx="1">
                  <c:v>Blood pressure</c:v>
                </c:pt>
                <c:pt idx="2">
                  <c:v>Insulin</c:v>
                </c:pt>
                <c:pt idx="3">
                  <c:v>BMI</c:v>
                </c:pt>
              </c:strCache>
            </c:strRef>
          </c:cat>
          <c:val>
            <c:numRef>
              <c:f>'ANALYSIS 1'!$B$33:$B$36</c:f>
              <c:numCache>
                <c:formatCode>General</c:formatCode>
                <c:ptCount val="4"/>
                <c:pt idx="0">
                  <c:v>110</c:v>
                </c:pt>
                <c:pt idx="1">
                  <c:v>68.180000000000007</c:v>
                </c:pt>
                <c:pt idx="2">
                  <c:v>68.7</c:v>
                </c:pt>
                <c:pt idx="3">
                  <c:v>30.3</c:v>
                </c:pt>
              </c:numCache>
            </c:numRef>
          </c:val>
          <c:smooth val="1"/>
          <c:extLst>
            <c:ext xmlns:c16="http://schemas.microsoft.com/office/drawing/2014/chart" uri="{C3380CC4-5D6E-409C-BE32-E72D297353CC}">
              <c16:uniqueId val="{00000000-B816-4014-A69D-663961DD34CE}"/>
            </c:ext>
          </c:extLst>
        </c:ser>
        <c:ser>
          <c:idx val="1"/>
          <c:order val="1"/>
          <c:tx>
            <c:strRef>
              <c:f>'ANALYSIS 1'!$C$32</c:f>
              <c:strCache>
                <c:ptCount val="1"/>
                <c:pt idx="0">
                  <c:v>Diabetes </c:v>
                </c:pt>
              </c:strCache>
            </c:strRef>
          </c:tx>
          <c:spPr>
            <a:ln w="28575" cap="rnd">
              <a:solidFill>
                <a:schemeClr val="accent2"/>
              </a:solidFill>
              <a:round/>
            </a:ln>
            <a:effectLst/>
          </c:spPr>
          <c:marker>
            <c:symbol val="none"/>
          </c:marker>
          <c:dLbls>
            <c:dLbl>
              <c:idx val="1"/>
              <c:layout>
                <c:manualLayout>
                  <c:x val="-5.4734537493158182E-3"/>
                  <c:y val="-8.81834215167549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16-4014-A69D-663961DD34CE}"/>
                </c:ext>
              </c:extLst>
            </c:dLbl>
            <c:dLbl>
              <c:idx val="3"/>
              <c:layout>
                <c:manualLayout>
                  <c:x val="-2.4630541871921284E-2"/>
                  <c:y val="-6.34920634920636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816-4014-A69D-663961DD34C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rnd" cmpd="sng" algn="ctr">
                      <a:solidFill>
                        <a:schemeClr val="bg1"/>
                      </a:solidFill>
                      <a:bevel/>
                    </a:ln>
                    <a:effectLst/>
                  </c:spPr>
                </c15:leaderLines>
              </c:ext>
            </c:extLst>
          </c:dLbls>
          <c:cat>
            <c:strRef>
              <c:f>'ANALYSIS 1'!$A$33:$A$36</c:f>
              <c:strCache>
                <c:ptCount val="4"/>
                <c:pt idx="0">
                  <c:v>Glucose</c:v>
                </c:pt>
                <c:pt idx="1">
                  <c:v>Blood pressure</c:v>
                </c:pt>
                <c:pt idx="2">
                  <c:v>Insulin</c:v>
                </c:pt>
                <c:pt idx="3">
                  <c:v>BMI</c:v>
                </c:pt>
              </c:strCache>
            </c:strRef>
          </c:cat>
          <c:val>
            <c:numRef>
              <c:f>'ANALYSIS 1'!$C$33:$C$36</c:f>
              <c:numCache>
                <c:formatCode>General</c:formatCode>
                <c:ptCount val="4"/>
                <c:pt idx="0">
                  <c:v>141.30000000000001</c:v>
                </c:pt>
                <c:pt idx="1">
                  <c:v>70.819999999999993</c:v>
                </c:pt>
                <c:pt idx="2">
                  <c:v>100.34</c:v>
                </c:pt>
                <c:pt idx="3">
                  <c:v>35.14</c:v>
                </c:pt>
              </c:numCache>
            </c:numRef>
          </c:val>
          <c:smooth val="1"/>
          <c:extLst>
            <c:ext xmlns:c16="http://schemas.microsoft.com/office/drawing/2014/chart" uri="{C3380CC4-5D6E-409C-BE32-E72D297353CC}">
              <c16:uniqueId val="{00000001-B816-4014-A69D-663961DD34CE}"/>
            </c:ext>
          </c:extLst>
        </c:ser>
        <c:dLbls>
          <c:showLegendKey val="0"/>
          <c:showVal val="0"/>
          <c:showCatName val="0"/>
          <c:showSerName val="0"/>
          <c:showPercent val="0"/>
          <c:showBubbleSize val="0"/>
        </c:dLbls>
        <c:smooth val="0"/>
        <c:axId val="1472043520"/>
        <c:axId val="1472044600"/>
      </c:lineChart>
      <c:catAx>
        <c:axId val="147204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472044600"/>
        <c:crosses val="autoZero"/>
        <c:auto val="1"/>
        <c:lblAlgn val="ctr"/>
        <c:lblOffset val="100"/>
        <c:noMultiLvlLbl val="0"/>
      </c:catAx>
      <c:valAx>
        <c:axId val="1472044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472043520"/>
        <c:crosses val="autoZero"/>
        <c:crossBetween val="between"/>
      </c:valAx>
      <c:spPr>
        <a:noFill/>
        <a:ln>
          <a:noFill/>
        </a:ln>
        <a:effectLst/>
      </c:spPr>
    </c:plotArea>
    <c:legend>
      <c:legendPos val="r"/>
      <c:overlay val="0"/>
      <c:spPr>
        <a:solidFill>
          <a:srgbClr val="284780"/>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[IMOLE DASHBOARD.xlsx.xlsx]ANALYSIS 1!PivotTable25</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a:solidFill>
                  <a:schemeClr val="bg1"/>
                </a:solidFill>
              </a:rPr>
              <a:t>Average Insulin by Outcome</a:t>
            </a:r>
          </a:p>
        </c:rich>
      </c:tx>
      <c:layout>
        <c:manualLayout>
          <c:xMode val="edge"/>
          <c:yMode val="edge"/>
          <c:x val="0.19356009070294786"/>
          <c:y val="1.33925717385885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1644155794396"/>
          <c:y val="0.16133534234146657"/>
          <c:w val="0.49585282679081172"/>
          <c:h val="0.83866465765853337"/>
        </c:manualLayout>
      </c:layout>
      <c:pieChart>
        <c:varyColors val="1"/>
        <c:ser>
          <c:idx val="0"/>
          <c:order val="0"/>
          <c:tx>
            <c:strRef>
              <c:f>'ANALYSIS 1'!$J$11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E0-4B10-AC3D-9FF82C952F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E0-4B10-AC3D-9FF82C952FED}"/>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E0-4B10-AC3D-9FF82C952FED}"/>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E0-4B10-AC3D-9FF82C952FE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'ANALYSIS 1'!$I$12:$I$14</c:f>
              <c:strCache>
                <c:ptCount val="2"/>
                <c:pt idx="0">
                  <c:v>0</c:v>
                </c:pt>
                <c:pt idx="1">
                  <c:v>1</c:v>
                </c:pt>
              </c:strCache>
            </c:strRef>
          </c:cat>
          <c:val>
            <c:numRef>
              <c:f>'ANALYSIS 1'!$J$12:$J$14</c:f>
              <c:numCache>
                <c:formatCode>General</c:formatCode>
                <c:ptCount val="2"/>
                <c:pt idx="0">
                  <c:v>68.792000000000002</c:v>
                </c:pt>
                <c:pt idx="1">
                  <c:v>100.33582089552239</c:v>
                </c:pt>
              </c:numCache>
            </c:numRef>
          </c:val>
          <c:extLst>
            <c:ext xmlns:c16="http://schemas.microsoft.com/office/drawing/2014/chart" uri="{C3380CC4-5D6E-409C-BE32-E72D297353CC}">
              <c16:uniqueId val="{00000004-D9E0-4B10-AC3D-9FF82C952FE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6066545253271909"/>
          <c:y val="0.5175600815261221"/>
          <c:w val="0.12572910529041012"/>
          <c:h val="0.196462704731740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sv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381000</xdr:colOff>
      <xdr:row>71</xdr:row>
      <xdr:rowOff>15240</xdr:rowOff>
    </xdr:to>
    <xdr:sp macro="" textlink="">
      <xdr:nvSpPr>
        <xdr:cNvPr id="2" name="Rectangle: Rounded Corners 1">
          <a:extLst>
            <a:ext uri="{FF2B5EF4-FFF2-40B4-BE49-F238E27FC236}">
              <a16:creationId xmlns:a16="http://schemas.microsoft.com/office/drawing/2014/main" id="{393C8E89-2F54-D114-A12C-FFC9B34A5605}"/>
            </a:ext>
          </a:extLst>
        </xdr:cNvPr>
        <xdr:cNvSpPr/>
      </xdr:nvSpPr>
      <xdr:spPr>
        <a:xfrm>
          <a:off x="0" y="0"/>
          <a:ext cx="18669000" cy="13540740"/>
        </a:xfrm>
        <a:prstGeom prst="roundRect">
          <a:avLst>
            <a:gd name="adj" fmla="val 4282"/>
          </a:avLst>
        </a:prstGeom>
        <a:solidFill>
          <a:srgbClr val="0B032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82126</xdr:colOff>
      <xdr:row>1</xdr:row>
      <xdr:rowOff>17780</xdr:rowOff>
    </xdr:from>
    <xdr:to>
      <xdr:col>28</xdr:col>
      <xdr:colOff>228599</xdr:colOff>
      <xdr:row>4</xdr:row>
      <xdr:rowOff>147320</xdr:rowOff>
    </xdr:to>
    <xdr:sp macro="" textlink="">
      <xdr:nvSpPr>
        <xdr:cNvPr id="3" name="Rectangle: Rounded Corners 2">
          <a:extLst>
            <a:ext uri="{FF2B5EF4-FFF2-40B4-BE49-F238E27FC236}">
              <a16:creationId xmlns:a16="http://schemas.microsoft.com/office/drawing/2014/main" id="{A763FE67-6C02-B150-A012-6816D6A578B0}"/>
            </a:ext>
          </a:extLst>
        </xdr:cNvPr>
        <xdr:cNvSpPr/>
      </xdr:nvSpPr>
      <xdr:spPr>
        <a:xfrm>
          <a:off x="1301326" y="200660"/>
          <a:ext cx="15996073" cy="678180"/>
        </a:xfrm>
        <a:prstGeom prst="roundRect">
          <a:avLst>
            <a:gd name="adj" fmla="val 24296"/>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a:latin typeface="Times New Roman" panose="02020603050405020304" pitchFamily="18" charset="0"/>
              <a:cs typeface="Times New Roman" panose="02020603050405020304" pitchFamily="18" charset="0"/>
            </a:rPr>
            <a:t>DIABETES</a:t>
          </a:r>
          <a:r>
            <a:rPr lang="en-US" sz="3600" baseline="0">
              <a:latin typeface="Times New Roman" panose="02020603050405020304" pitchFamily="18" charset="0"/>
              <a:cs typeface="Times New Roman" panose="02020603050405020304" pitchFamily="18" charset="0"/>
            </a:rPr>
            <a:t> RISK ANALYSIS AND PATIENTS HEALTH INSIGHTS</a:t>
          </a:r>
          <a:endParaRPr lang="en-US" sz="3600">
            <a:latin typeface="Times New Roman" panose="02020603050405020304" pitchFamily="18" charset="0"/>
            <a:cs typeface="Times New Roman" panose="02020603050405020304" pitchFamily="18" charset="0"/>
          </a:endParaRPr>
        </a:p>
      </xdr:txBody>
    </xdr:sp>
    <xdr:clientData/>
  </xdr:twoCellAnchor>
  <xdr:twoCellAnchor>
    <xdr:from>
      <xdr:col>3</xdr:col>
      <xdr:colOff>365758</xdr:colOff>
      <xdr:row>6</xdr:row>
      <xdr:rowOff>69426</xdr:rowOff>
    </xdr:from>
    <xdr:to>
      <xdr:col>7</xdr:col>
      <xdr:colOff>243840</xdr:colOff>
      <xdr:row>15</xdr:row>
      <xdr:rowOff>95250</xdr:rowOff>
    </xdr:to>
    <xdr:sp macro="" textlink="">
      <xdr:nvSpPr>
        <xdr:cNvPr id="4" name="Rectangle: Rounded Corners 3">
          <a:extLst>
            <a:ext uri="{FF2B5EF4-FFF2-40B4-BE49-F238E27FC236}">
              <a16:creationId xmlns:a16="http://schemas.microsoft.com/office/drawing/2014/main" id="{5A054A34-864A-4CDC-0E63-3B9C77AB3591}"/>
            </a:ext>
          </a:extLst>
        </xdr:cNvPr>
        <xdr:cNvSpPr/>
      </xdr:nvSpPr>
      <xdr:spPr>
        <a:xfrm>
          <a:off x="2194558" y="1212426"/>
          <a:ext cx="2316482" cy="1740324"/>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150">
              <a:latin typeface="Times New Roman" panose="02020603050405020304" pitchFamily="18" charset="0"/>
              <a:cs typeface="Times New Roman" panose="02020603050405020304" pitchFamily="18" charset="0"/>
            </a:rPr>
            <a:t>Total</a:t>
          </a:r>
          <a:r>
            <a:rPr lang="en-US" sz="2150" baseline="0">
              <a:latin typeface="Times New Roman" panose="02020603050405020304" pitchFamily="18" charset="0"/>
              <a:cs typeface="Times New Roman" panose="02020603050405020304" pitchFamily="18" charset="0"/>
            </a:rPr>
            <a:t> Patients</a:t>
          </a:r>
          <a:endParaRPr lang="en-US" sz="2150">
            <a:latin typeface="Times New Roman" panose="02020603050405020304" pitchFamily="18" charset="0"/>
            <a:cs typeface="Times New Roman" panose="02020603050405020304" pitchFamily="18" charset="0"/>
          </a:endParaRPr>
        </a:p>
        <a:p>
          <a:pPr marL="0" indent="0" algn="ctr"/>
          <a:endParaRPr lang="en-US" sz="1400">
            <a:latin typeface="Times New Roman" panose="02020603050405020304" pitchFamily="18" charset="0"/>
            <a:cs typeface="Times New Roman" panose="02020603050405020304" pitchFamily="18" charset="0"/>
          </a:endParaRPr>
        </a:p>
        <a:p>
          <a:pPr marL="0" indent="0" algn="ctr"/>
          <a:r>
            <a:rPr lang="en-US" sz="2000">
              <a:latin typeface="Times New Roman" panose="02020603050405020304" pitchFamily="18" charset="0"/>
              <a:cs typeface="Times New Roman" panose="02020603050405020304" pitchFamily="18" charset="0"/>
            </a:rPr>
            <a:t>   </a:t>
          </a:r>
        </a:p>
        <a:p>
          <a:pPr marL="0" indent="0" algn="ctr"/>
          <a:r>
            <a:rPr lang="en-US" sz="2800">
              <a:latin typeface="Times New Roman" panose="02020603050405020304" pitchFamily="18" charset="0"/>
              <a:cs typeface="Times New Roman" panose="02020603050405020304" pitchFamily="18" charset="0"/>
            </a:rPr>
            <a:t>768</a:t>
          </a:r>
        </a:p>
      </xdr:txBody>
    </xdr:sp>
    <xdr:clientData/>
  </xdr:twoCellAnchor>
  <xdr:twoCellAnchor>
    <xdr:from>
      <xdr:col>3</xdr:col>
      <xdr:colOff>396240</xdr:colOff>
      <xdr:row>17</xdr:row>
      <xdr:rowOff>84269</xdr:rowOff>
    </xdr:from>
    <xdr:to>
      <xdr:col>8</xdr:col>
      <xdr:colOff>30480</xdr:colOff>
      <xdr:row>26</xdr:row>
      <xdr:rowOff>0</xdr:rowOff>
    </xdr:to>
    <xdr:sp macro="" textlink="'ANALYSIS 1'!E4">
      <xdr:nvSpPr>
        <xdr:cNvPr id="9" name="Rectangle: Rounded Corners 8">
          <a:extLst>
            <a:ext uri="{FF2B5EF4-FFF2-40B4-BE49-F238E27FC236}">
              <a16:creationId xmlns:a16="http://schemas.microsoft.com/office/drawing/2014/main" id="{49D5BA19-6A0D-4DE3-BD48-12DE4BAC1B70}"/>
            </a:ext>
          </a:extLst>
        </xdr:cNvPr>
        <xdr:cNvSpPr/>
      </xdr:nvSpPr>
      <xdr:spPr>
        <a:xfrm>
          <a:off x="2225040" y="3322769"/>
          <a:ext cx="2682240" cy="1630231"/>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150" b="0" i="0" u="none" strike="noStrike">
              <a:solidFill>
                <a:schemeClr val="bg1"/>
              </a:solidFill>
              <a:latin typeface="Times New Roman" panose="02020603050405020304" pitchFamily="18" charset="0"/>
              <a:ea typeface="Calibri"/>
              <a:cs typeface="Times New Roman" panose="02020603050405020304" pitchFamily="18" charset="0"/>
            </a:rPr>
            <a:t>Average Age </a:t>
          </a:r>
        </a:p>
        <a:p>
          <a:pPr marL="0" indent="0" algn="ctr"/>
          <a:endParaRPr lang="en-US" sz="2150" b="0" i="0" u="none" strike="noStrike">
            <a:solidFill>
              <a:schemeClr val="bg1"/>
            </a:solidFill>
            <a:latin typeface="Times New Roman" panose="02020603050405020304" pitchFamily="18" charset="0"/>
            <a:ea typeface="Calibri"/>
            <a:cs typeface="Times New Roman" panose="02020603050405020304" pitchFamily="18" charset="0"/>
          </a:endParaRPr>
        </a:p>
        <a:p>
          <a:pPr marL="0" indent="0" algn="ctr"/>
          <a:fld id="{0882EF79-E132-4455-898A-DD25419B885F}" type="TxLink">
            <a:rPr lang="en-US" sz="2800" b="0" i="0" u="none" strike="noStrike">
              <a:solidFill>
                <a:schemeClr val="bg1"/>
              </a:solidFill>
              <a:latin typeface="Times New Roman" panose="02020603050405020304" pitchFamily="18" charset="0"/>
              <a:ea typeface="Calibri"/>
              <a:cs typeface="Times New Roman" panose="02020603050405020304" pitchFamily="18" charset="0"/>
            </a:rPr>
            <a:pPr marL="0" indent="0" algn="ctr"/>
            <a:t>33.24</a:t>
          </a:fld>
          <a:endParaRPr lang="en-US" sz="2800">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8</xdr:col>
      <xdr:colOff>323850</xdr:colOff>
      <xdr:row>17</xdr:row>
      <xdr:rowOff>73660</xdr:rowOff>
    </xdr:from>
    <xdr:to>
      <xdr:col>13</xdr:col>
      <xdr:colOff>506730</xdr:colOff>
      <xdr:row>25</xdr:row>
      <xdr:rowOff>167640</xdr:rowOff>
    </xdr:to>
    <xdr:sp macro="" textlink="'ANALYSIS 1'!D4">
      <xdr:nvSpPr>
        <xdr:cNvPr id="10" name="Rectangle: Rounded Corners 9">
          <a:extLst>
            <a:ext uri="{FF2B5EF4-FFF2-40B4-BE49-F238E27FC236}">
              <a16:creationId xmlns:a16="http://schemas.microsoft.com/office/drawing/2014/main" id="{A856F0EB-3FEC-46E1-961A-98134196CC90}"/>
            </a:ext>
          </a:extLst>
        </xdr:cNvPr>
        <xdr:cNvSpPr/>
      </xdr:nvSpPr>
      <xdr:spPr>
        <a:xfrm>
          <a:off x="5200650" y="3312160"/>
          <a:ext cx="3230880" cy="161798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150" b="0" i="0" u="none" strike="noStrike" baseline="0">
              <a:solidFill>
                <a:schemeClr val="bg1"/>
              </a:solidFill>
              <a:latin typeface="Times New Roman" panose="02020603050405020304" pitchFamily="18" charset="0"/>
              <a:ea typeface="Calibri"/>
              <a:cs typeface="Times New Roman" panose="02020603050405020304" pitchFamily="18" charset="0"/>
            </a:rPr>
            <a:t>Average BMI</a:t>
          </a:r>
        </a:p>
        <a:p>
          <a:pPr marL="0" indent="0" algn="ctr"/>
          <a:endParaRPr lang="en-US" sz="2150" b="0" i="0" u="none" strike="noStrike" baseline="0">
            <a:solidFill>
              <a:schemeClr val="bg1"/>
            </a:solidFill>
            <a:latin typeface="Times New Roman" panose="02020603050405020304" pitchFamily="18" charset="0"/>
            <a:ea typeface="Calibri"/>
            <a:cs typeface="Times New Roman" panose="02020603050405020304" pitchFamily="18" charset="0"/>
          </a:endParaRPr>
        </a:p>
        <a:p>
          <a:pPr marL="0" indent="0" algn="ctr"/>
          <a:r>
            <a:rPr lang="en-US" sz="2800" b="0" i="0" u="none" strike="noStrike" baseline="0">
              <a:solidFill>
                <a:schemeClr val="bg1"/>
              </a:solidFill>
              <a:latin typeface="Times New Roman" panose="02020603050405020304" pitchFamily="18" charset="0"/>
              <a:ea typeface="Calibri"/>
              <a:cs typeface="Times New Roman" panose="02020603050405020304" pitchFamily="18" charset="0"/>
            </a:rPr>
            <a:t>   </a:t>
          </a:r>
          <a:fld id="{6F0E9CB2-217A-4A44-A0DC-AB5885FE1155}" type="TxLink">
            <a:rPr lang="en-US" sz="2800" b="0" i="0" u="none" strike="noStrike" baseline="0">
              <a:solidFill>
                <a:schemeClr val="bg1"/>
              </a:solidFill>
              <a:latin typeface="Times New Roman" panose="02020603050405020304" pitchFamily="18" charset="0"/>
              <a:ea typeface="Calibri"/>
              <a:cs typeface="Times New Roman" panose="02020603050405020304" pitchFamily="18" charset="0"/>
            </a:rPr>
            <a:pPr marL="0" indent="0" algn="ctr"/>
            <a:t>32.0</a:t>
          </a:fld>
          <a:endParaRPr lang="en-US" sz="2800">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7</xdr:col>
      <xdr:colOff>446788</xdr:colOff>
      <xdr:row>6</xdr:row>
      <xdr:rowOff>77546</xdr:rowOff>
    </xdr:from>
    <xdr:to>
      <xdr:col>11</xdr:col>
      <xdr:colOff>361950</xdr:colOff>
      <xdr:row>16</xdr:row>
      <xdr:rowOff>0</xdr:rowOff>
    </xdr:to>
    <xdr:sp macro="" textlink="'ANALYSIS 1'!B4">
      <xdr:nvSpPr>
        <xdr:cNvPr id="13" name="Rectangle: Rounded Corners 12">
          <a:extLst>
            <a:ext uri="{FF2B5EF4-FFF2-40B4-BE49-F238E27FC236}">
              <a16:creationId xmlns:a16="http://schemas.microsoft.com/office/drawing/2014/main" id="{122DB6A0-039A-4631-9D17-92705EB4B00D}"/>
            </a:ext>
          </a:extLst>
        </xdr:cNvPr>
        <xdr:cNvSpPr/>
      </xdr:nvSpPr>
      <xdr:spPr>
        <a:xfrm>
          <a:off x="4713988" y="1220546"/>
          <a:ext cx="2353562" cy="1827454"/>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150" b="0" i="0" u="none" strike="noStrike" baseline="0">
              <a:solidFill>
                <a:schemeClr val="bg1"/>
              </a:solidFill>
              <a:latin typeface="Times New Roman" panose="02020603050405020304" pitchFamily="18" charset="0"/>
              <a:ea typeface="Calibri"/>
              <a:cs typeface="Times New Roman" panose="02020603050405020304" pitchFamily="18" charset="0"/>
            </a:rPr>
            <a:t>Diabetic Patients</a:t>
          </a:r>
        </a:p>
        <a:p>
          <a:pPr marL="0" indent="0" algn="ctr"/>
          <a:r>
            <a:rPr lang="en-US" sz="2400" b="0" i="0" u="none" strike="noStrike" baseline="0">
              <a:solidFill>
                <a:schemeClr val="bg1"/>
              </a:solidFill>
              <a:latin typeface="Times New Roman" panose="02020603050405020304" pitchFamily="18" charset="0"/>
              <a:ea typeface="Calibri"/>
              <a:cs typeface="Times New Roman" panose="02020603050405020304" pitchFamily="18" charset="0"/>
            </a:rPr>
            <a:t>                                         </a:t>
          </a:r>
          <a:fld id="{9AAFCC2D-D7FD-4D98-A3DC-38270101CA68}" type="TxLink">
            <a:rPr lang="en-US" sz="2800" b="0" i="0" u="none" strike="noStrike">
              <a:solidFill>
                <a:schemeClr val="bg1"/>
              </a:solidFill>
              <a:latin typeface="Times New Roman" panose="02020603050405020304" pitchFamily="18" charset="0"/>
              <a:ea typeface="Calibri"/>
              <a:cs typeface="Times New Roman" panose="02020603050405020304" pitchFamily="18" charset="0"/>
            </a:rPr>
            <a:pPr marL="0" indent="0" algn="ctr"/>
            <a:t>268</a:t>
          </a:fld>
          <a:endParaRPr lang="en-US" sz="2800">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14</xdr:col>
      <xdr:colOff>274320</xdr:colOff>
      <xdr:row>17</xdr:row>
      <xdr:rowOff>85316</xdr:rowOff>
    </xdr:from>
    <xdr:to>
      <xdr:col>19</xdr:col>
      <xdr:colOff>211567</xdr:colOff>
      <xdr:row>25</xdr:row>
      <xdr:rowOff>160020</xdr:rowOff>
    </xdr:to>
    <xdr:sp macro="" textlink="'ANALYSIS 1'!N4">
      <xdr:nvSpPr>
        <xdr:cNvPr id="14" name="Rectangle: Rounded Corners 13">
          <a:extLst>
            <a:ext uri="{FF2B5EF4-FFF2-40B4-BE49-F238E27FC236}">
              <a16:creationId xmlns:a16="http://schemas.microsoft.com/office/drawing/2014/main" id="{D9520507-0C92-431A-A2D0-D79019F1BF5D}"/>
            </a:ext>
          </a:extLst>
        </xdr:cNvPr>
        <xdr:cNvSpPr/>
      </xdr:nvSpPr>
      <xdr:spPr>
        <a:xfrm>
          <a:off x="8808720" y="3323816"/>
          <a:ext cx="2985247" cy="1598704"/>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150" b="0" i="0" u="none" strike="noStrike">
              <a:solidFill>
                <a:schemeClr val="bg1"/>
              </a:solidFill>
              <a:latin typeface="Times New Roman" panose="02020603050405020304" pitchFamily="18" charset="0"/>
              <a:ea typeface="Calibri"/>
              <a:cs typeface="Times New Roman" panose="02020603050405020304" pitchFamily="18" charset="0"/>
            </a:rPr>
            <a:t>Average</a:t>
          </a:r>
          <a:r>
            <a:rPr lang="en-US" sz="2150" b="0" i="0" u="none" strike="noStrike" baseline="0">
              <a:solidFill>
                <a:schemeClr val="bg1"/>
              </a:solidFill>
              <a:latin typeface="Times New Roman" panose="02020603050405020304" pitchFamily="18" charset="0"/>
              <a:ea typeface="Calibri"/>
              <a:cs typeface="Times New Roman" panose="02020603050405020304" pitchFamily="18" charset="0"/>
            </a:rPr>
            <a:t> Glucose</a:t>
          </a:r>
        </a:p>
        <a:p>
          <a:pPr marL="0" indent="0" algn="ctr"/>
          <a:endParaRPr lang="en-US" sz="2150" b="0" i="0" u="none" strike="noStrike" baseline="0">
            <a:solidFill>
              <a:schemeClr val="bg1"/>
            </a:solidFill>
            <a:latin typeface="Times New Roman" panose="02020603050405020304" pitchFamily="18" charset="0"/>
            <a:ea typeface="Calibri"/>
            <a:cs typeface="Times New Roman" panose="02020603050405020304" pitchFamily="18" charset="0"/>
          </a:endParaRPr>
        </a:p>
        <a:p>
          <a:pPr marL="0" indent="0" algn="ctr"/>
          <a:fld id="{1B053459-17C0-463F-96B4-B3F33F2EE331}" type="TxLink">
            <a:rPr lang="en-US" sz="2800" b="0" i="0" u="none" strike="noStrike">
              <a:solidFill>
                <a:schemeClr val="bg1"/>
              </a:solidFill>
              <a:latin typeface="Times New Roman" panose="02020603050405020304" pitchFamily="18" charset="0"/>
              <a:ea typeface="Calibri"/>
              <a:cs typeface="Times New Roman" panose="02020603050405020304" pitchFamily="18" charset="0"/>
            </a:rPr>
            <a:pPr marL="0" indent="0" algn="ctr"/>
            <a:t>192</a:t>
          </a:fld>
          <a:endParaRPr lang="en-US" sz="2800" b="0" i="0" u="none" strike="noStrike">
            <a:solidFill>
              <a:schemeClr val="bg1"/>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0</xdr:col>
      <xdr:colOff>152400</xdr:colOff>
      <xdr:row>5</xdr:row>
      <xdr:rowOff>138853</xdr:rowOff>
    </xdr:from>
    <xdr:to>
      <xdr:col>3</xdr:col>
      <xdr:colOff>247650</xdr:colOff>
      <xdr:row>46</xdr:row>
      <xdr:rowOff>114300</xdr:rowOff>
    </xdr:to>
    <xdr:sp macro="" textlink="">
      <xdr:nvSpPr>
        <xdr:cNvPr id="15" name="Rectangle: Rounded Corners 14">
          <a:extLst>
            <a:ext uri="{FF2B5EF4-FFF2-40B4-BE49-F238E27FC236}">
              <a16:creationId xmlns:a16="http://schemas.microsoft.com/office/drawing/2014/main" id="{888E81D8-3F3B-5A30-DEEA-57E1E21B4115}"/>
            </a:ext>
          </a:extLst>
        </xdr:cNvPr>
        <xdr:cNvSpPr/>
      </xdr:nvSpPr>
      <xdr:spPr>
        <a:xfrm>
          <a:off x="152400" y="1091353"/>
          <a:ext cx="1924050" cy="7785947"/>
        </a:xfrm>
        <a:prstGeom prst="roundRect">
          <a:avLst>
            <a:gd name="adj" fmla="val 17826"/>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487680</xdr:colOff>
      <xdr:row>6</xdr:row>
      <xdr:rowOff>115646</xdr:rowOff>
    </xdr:from>
    <xdr:to>
      <xdr:col>15</xdr:col>
      <xdr:colOff>472440</xdr:colOff>
      <xdr:row>16</xdr:row>
      <xdr:rowOff>0</xdr:rowOff>
    </xdr:to>
    <xdr:sp macro="" textlink="'ANALYSIS 1'!C4">
      <xdr:nvSpPr>
        <xdr:cNvPr id="16" name="Rectangle: Rounded Corners 15">
          <a:extLst>
            <a:ext uri="{FF2B5EF4-FFF2-40B4-BE49-F238E27FC236}">
              <a16:creationId xmlns:a16="http://schemas.microsoft.com/office/drawing/2014/main" id="{CC404997-CE3C-414E-BE8F-A56C9C8A55E1}"/>
            </a:ext>
          </a:extLst>
        </xdr:cNvPr>
        <xdr:cNvSpPr/>
      </xdr:nvSpPr>
      <xdr:spPr>
        <a:xfrm>
          <a:off x="7193280" y="1258646"/>
          <a:ext cx="2423160" cy="1789354"/>
        </a:xfrm>
        <a:prstGeom prst="roundRect">
          <a:avLst>
            <a:gd name="adj" fmla="val 15602"/>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2150" b="0" i="0" u="none" strike="noStrike">
              <a:solidFill>
                <a:schemeClr val="bg1"/>
              </a:solidFill>
              <a:latin typeface="Times New Roman" panose="02020603050405020304" pitchFamily="18" charset="0"/>
              <a:ea typeface="Calibri"/>
              <a:cs typeface="Times New Roman" panose="02020603050405020304" pitchFamily="18" charset="0"/>
            </a:rPr>
            <a:t>   Non-Diabetic</a:t>
          </a:r>
          <a:endParaRPr lang="en-US" sz="2150" b="0" i="0" u="none" strike="noStrike" baseline="0">
            <a:solidFill>
              <a:schemeClr val="bg1"/>
            </a:solidFill>
            <a:latin typeface="Times New Roman" panose="02020603050405020304" pitchFamily="18" charset="0"/>
            <a:ea typeface="Calibri"/>
            <a:cs typeface="Times New Roman" panose="02020603050405020304" pitchFamily="18" charset="0"/>
          </a:endParaRPr>
        </a:p>
        <a:p>
          <a:pPr marL="0" indent="0" algn="l"/>
          <a:r>
            <a:rPr lang="en-US" sz="2150" b="0" i="0" u="none" strike="noStrike" baseline="0">
              <a:solidFill>
                <a:schemeClr val="bg1"/>
              </a:solidFill>
              <a:latin typeface="Times New Roman" panose="02020603050405020304" pitchFamily="18" charset="0"/>
              <a:ea typeface="Calibri"/>
              <a:cs typeface="Times New Roman" panose="02020603050405020304" pitchFamily="18" charset="0"/>
            </a:rPr>
            <a:t>   </a:t>
          </a:r>
        </a:p>
        <a:p>
          <a:pPr marL="0" indent="0" algn="l"/>
          <a:r>
            <a:rPr lang="en-US" sz="2150" b="0" i="0" u="none" strike="noStrike" baseline="0">
              <a:solidFill>
                <a:schemeClr val="bg1"/>
              </a:solidFill>
              <a:latin typeface="Times New Roman" panose="02020603050405020304" pitchFamily="18" charset="0"/>
              <a:ea typeface="Calibri"/>
              <a:cs typeface="Times New Roman" panose="02020603050405020304" pitchFamily="18" charset="0"/>
            </a:rPr>
            <a:t>            </a:t>
          </a:r>
          <a:fld id="{D2772147-F691-440E-80A1-2F14E6B63E43}" type="TxLink">
            <a:rPr lang="en-US" sz="2800" b="0" i="0" u="none" strike="noStrike">
              <a:solidFill>
                <a:schemeClr val="bg1"/>
              </a:solidFill>
              <a:latin typeface="Times New Roman" panose="02020603050405020304" pitchFamily="18" charset="0"/>
              <a:ea typeface="Calibri"/>
              <a:cs typeface="Times New Roman" panose="02020603050405020304" pitchFamily="18" charset="0"/>
            </a:rPr>
            <a:pPr marL="0" indent="0" algn="l"/>
            <a:t>500</a:t>
          </a:fld>
          <a:endParaRPr lang="en-US" sz="2800">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16</xdr:col>
      <xdr:colOff>18826</xdr:colOff>
      <xdr:row>6</xdr:row>
      <xdr:rowOff>116640</xdr:rowOff>
    </xdr:from>
    <xdr:to>
      <xdr:col>20</xdr:col>
      <xdr:colOff>15240</xdr:colOff>
      <xdr:row>16</xdr:row>
      <xdr:rowOff>57150</xdr:rowOff>
    </xdr:to>
    <xdr:sp macro="" textlink="'ANALYSIS 1'!F4">
      <xdr:nvSpPr>
        <xdr:cNvPr id="17" name="Rectangle: Rounded Corners 16">
          <a:extLst>
            <a:ext uri="{FF2B5EF4-FFF2-40B4-BE49-F238E27FC236}">
              <a16:creationId xmlns:a16="http://schemas.microsoft.com/office/drawing/2014/main" id="{AB82CD58-E3B0-4871-B86C-D623019C4167}"/>
            </a:ext>
          </a:extLst>
        </xdr:cNvPr>
        <xdr:cNvSpPr/>
      </xdr:nvSpPr>
      <xdr:spPr>
        <a:xfrm>
          <a:off x="9772426" y="1259640"/>
          <a:ext cx="2434814" cy="184551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150" b="0" i="0" u="none" strike="noStrike" baseline="0">
              <a:solidFill>
                <a:schemeClr val="bg1"/>
              </a:solidFill>
              <a:latin typeface="Times New Roman" panose="02020603050405020304" pitchFamily="18" charset="0"/>
              <a:ea typeface="Calibri"/>
              <a:cs typeface="Times New Roman" panose="02020603050405020304" pitchFamily="18" charset="0"/>
            </a:rPr>
            <a:t>Diabetes Rate (%)</a:t>
          </a:r>
          <a:r>
            <a:rPr lang="en-US" sz="2800" b="0" i="0" u="none" strike="noStrike" baseline="0">
              <a:solidFill>
                <a:schemeClr val="bg1"/>
              </a:solidFill>
              <a:latin typeface="Times New Roman" panose="02020603050405020304" pitchFamily="18" charset="0"/>
              <a:ea typeface="Calibri"/>
              <a:cs typeface="Times New Roman" panose="02020603050405020304" pitchFamily="18" charset="0"/>
            </a:rPr>
            <a:t> </a:t>
          </a:r>
        </a:p>
        <a:p>
          <a:pPr marL="0" indent="0" algn="ctr"/>
          <a:endParaRPr lang="en-US" sz="2800" b="0" i="0" u="none" strike="noStrike">
            <a:solidFill>
              <a:schemeClr val="bg1"/>
            </a:solidFill>
            <a:latin typeface="Times New Roman" panose="02020603050405020304" pitchFamily="18" charset="0"/>
            <a:ea typeface="Calibri"/>
            <a:cs typeface="Times New Roman" panose="02020603050405020304" pitchFamily="18" charset="0"/>
          </a:endParaRPr>
        </a:p>
        <a:p>
          <a:pPr marL="0" indent="0" algn="ctr"/>
          <a:fld id="{2BF2327A-C6CE-444D-AF8B-9134B7FCC908}" type="TxLink">
            <a:rPr lang="en-US" sz="2800" b="0" i="0" u="none" strike="noStrike">
              <a:solidFill>
                <a:schemeClr val="bg1"/>
              </a:solidFill>
              <a:latin typeface="Times New Roman" panose="02020603050405020304" pitchFamily="18" charset="0"/>
              <a:ea typeface="Calibri"/>
              <a:cs typeface="Times New Roman" panose="02020603050405020304" pitchFamily="18" charset="0"/>
            </a:rPr>
            <a:pPr marL="0" indent="0" algn="ctr"/>
            <a:t>34.9%</a:t>
          </a:fld>
          <a:endParaRPr lang="en-US" sz="2800">
            <a:solidFill>
              <a:schemeClr val="bg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457200</xdr:colOff>
      <xdr:row>49</xdr:row>
      <xdr:rowOff>60960</xdr:rowOff>
    </xdr:from>
    <xdr:to>
      <xdr:col>12</xdr:col>
      <xdr:colOff>529591</xdr:colOff>
      <xdr:row>70</xdr:row>
      <xdr:rowOff>45720</xdr:rowOff>
    </xdr:to>
    <xdr:sp macro="" textlink="">
      <xdr:nvSpPr>
        <xdr:cNvPr id="18" name="Rectangle: Rounded Corners 17">
          <a:extLst>
            <a:ext uri="{FF2B5EF4-FFF2-40B4-BE49-F238E27FC236}">
              <a16:creationId xmlns:a16="http://schemas.microsoft.com/office/drawing/2014/main" id="{A178E6DA-8D72-4D28-7308-240E8E12AE0E}"/>
            </a:ext>
          </a:extLst>
        </xdr:cNvPr>
        <xdr:cNvSpPr/>
      </xdr:nvSpPr>
      <xdr:spPr>
        <a:xfrm>
          <a:off x="457200" y="9395460"/>
          <a:ext cx="7387591" cy="3985260"/>
        </a:xfrm>
        <a:prstGeom prst="roundRect">
          <a:avLst>
            <a:gd name="adj" fmla="val 13956"/>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407670</xdr:colOff>
      <xdr:row>27</xdr:row>
      <xdr:rowOff>114300</xdr:rowOff>
    </xdr:from>
    <xdr:to>
      <xdr:col>13</xdr:col>
      <xdr:colOff>361950</xdr:colOff>
      <xdr:row>47</xdr:row>
      <xdr:rowOff>19050</xdr:rowOff>
    </xdr:to>
    <xdr:sp macro="" textlink="">
      <xdr:nvSpPr>
        <xdr:cNvPr id="19" name="Rectangle: Rounded Corners 18">
          <a:extLst>
            <a:ext uri="{FF2B5EF4-FFF2-40B4-BE49-F238E27FC236}">
              <a16:creationId xmlns:a16="http://schemas.microsoft.com/office/drawing/2014/main" id="{F17C2A2D-5CA5-FD06-65EC-943BBA607F1C}"/>
            </a:ext>
          </a:extLst>
        </xdr:cNvPr>
        <xdr:cNvSpPr/>
      </xdr:nvSpPr>
      <xdr:spPr>
        <a:xfrm>
          <a:off x="2236470" y="5257800"/>
          <a:ext cx="6050280" cy="3714750"/>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p>
      </xdr:txBody>
    </xdr:sp>
    <xdr:clientData/>
  </xdr:twoCellAnchor>
  <xdr:twoCellAnchor>
    <xdr:from>
      <xdr:col>14</xdr:col>
      <xdr:colOff>0</xdr:colOff>
      <xdr:row>27</xdr:row>
      <xdr:rowOff>114299</xdr:rowOff>
    </xdr:from>
    <xdr:to>
      <xdr:col>30</xdr:col>
      <xdr:colOff>213360</xdr:colOff>
      <xdr:row>46</xdr:row>
      <xdr:rowOff>182880</xdr:rowOff>
    </xdr:to>
    <xdr:sp macro="" textlink="">
      <xdr:nvSpPr>
        <xdr:cNvPr id="20" name="Rectangle: Rounded Corners 19">
          <a:extLst>
            <a:ext uri="{FF2B5EF4-FFF2-40B4-BE49-F238E27FC236}">
              <a16:creationId xmlns:a16="http://schemas.microsoft.com/office/drawing/2014/main" id="{CE91F810-C09B-4974-9CCE-62D4021673E0}"/>
            </a:ext>
          </a:extLst>
        </xdr:cNvPr>
        <xdr:cNvSpPr/>
      </xdr:nvSpPr>
      <xdr:spPr>
        <a:xfrm>
          <a:off x="8534400" y="5257799"/>
          <a:ext cx="9966960" cy="3688081"/>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noFill/>
            <a:latin typeface="+mn-lt"/>
            <a:ea typeface="+mn-ea"/>
            <a:cs typeface="+mn-cs"/>
          </a:endParaRPr>
        </a:p>
      </xdr:txBody>
    </xdr:sp>
    <xdr:clientData/>
  </xdr:twoCellAnchor>
  <xdr:twoCellAnchor>
    <xdr:from>
      <xdr:col>0</xdr:col>
      <xdr:colOff>194733</xdr:colOff>
      <xdr:row>7</xdr:row>
      <xdr:rowOff>67733</xdr:rowOff>
    </xdr:from>
    <xdr:to>
      <xdr:col>3</xdr:col>
      <xdr:colOff>121920</xdr:colOff>
      <xdr:row>11</xdr:row>
      <xdr:rowOff>137160</xdr:rowOff>
    </xdr:to>
    <xdr:sp macro="" textlink="">
      <xdr:nvSpPr>
        <xdr:cNvPr id="22" name="Rectangle: Rounded Corners 21">
          <a:extLst>
            <a:ext uri="{FF2B5EF4-FFF2-40B4-BE49-F238E27FC236}">
              <a16:creationId xmlns:a16="http://schemas.microsoft.com/office/drawing/2014/main" id="{E1A39007-B2DF-3ED9-D59B-30633A017538}"/>
            </a:ext>
          </a:extLst>
        </xdr:cNvPr>
        <xdr:cNvSpPr/>
      </xdr:nvSpPr>
      <xdr:spPr>
        <a:xfrm>
          <a:off x="194733" y="1347893"/>
          <a:ext cx="1755987" cy="800947"/>
        </a:xfrm>
        <a:prstGeom prst="roundRect">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5400" b="1" i="0">
              <a:solidFill>
                <a:schemeClr val="bg1"/>
              </a:solidFill>
              <a:latin typeface="Edwardian Script ITC" panose="030303020407070D0804" pitchFamily="66" charset="0"/>
              <a:ea typeface="+mn-ea"/>
              <a:cs typeface="+mn-cs"/>
            </a:rPr>
            <a:t>D.M</a:t>
          </a:r>
        </a:p>
      </xdr:txBody>
    </xdr:sp>
    <xdr:clientData/>
  </xdr:twoCellAnchor>
  <xdr:twoCellAnchor editAs="oneCell">
    <xdr:from>
      <xdr:col>3</xdr:col>
      <xdr:colOff>480059</xdr:colOff>
      <xdr:row>9</xdr:row>
      <xdr:rowOff>57151</xdr:rowOff>
    </xdr:from>
    <xdr:to>
      <xdr:col>5</xdr:col>
      <xdr:colOff>4931</xdr:colOff>
      <xdr:row>14</xdr:row>
      <xdr:rowOff>102871</xdr:rowOff>
    </xdr:to>
    <xdr:pic>
      <xdr:nvPicPr>
        <xdr:cNvPr id="24" name="Graphic 23" descr="Users">
          <a:extLst>
            <a:ext uri="{FF2B5EF4-FFF2-40B4-BE49-F238E27FC236}">
              <a16:creationId xmlns:a16="http://schemas.microsoft.com/office/drawing/2014/main" id="{97D79E19-963E-F5B5-F330-2750533C20E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308859" y="1771651"/>
          <a:ext cx="744072" cy="998220"/>
        </a:xfrm>
        <a:prstGeom prst="rect">
          <a:avLst/>
        </a:prstGeom>
      </xdr:spPr>
    </xdr:pic>
    <xdr:clientData/>
  </xdr:twoCellAnchor>
  <xdr:twoCellAnchor editAs="oneCell">
    <xdr:from>
      <xdr:col>7</xdr:col>
      <xdr:colOff>485338</xdr:colOff>
      <xdr:row>9</xdr:row>
      <xdr:rowOff>133350</xdr:rowOff>
    </xdr:from>
    <xdr:to>
      <xdr:col>9</xdr:col>
      <xdr:colOff>38996</xdr:colOff>
      <xdr:row>14</xdr:row>
      <xdr:rowOff>52667</xdr:rowOff>
    </xdr:to>
    <xdr:pic>
      <xdr:nvPicPr>
        <xdr:cNvPr id="29" name="Graphic 28" descr="Users">
          <a:extLst>
            <a:ext uri="{FF2B5EF4-FFF2-40B4-BE49-F238E27FC236}">
              <a16:creationId xmlns:a16="http://schemas.microsoft.com/office/drawing/2014/main" id="{7EFB4386-29D9-4EEE-BE5A-F9F31AF7E83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52538" y="1847850"/>
          <a:ext cx="772858" cy="871817"/>
        </a:xfrm>
        <a:prstGeom prst="rect">
          <a:avLst/>
        </a:prstGeom>
      </xdr:spPr>
    </xdr:pic>
    <xdr:clientData/>
  </xdr:twoCellAnchor>
  <xdr:twoCellAnchor editAs="oneCell">
    <xdr:from>
      <xdr:col>12</xdr:col>
      <xdr:colOff>1296</xdr:colOff>
      <xdr:row>9</xdr:row>
      <xdr:rowOff>114300</xdr:rowOff>
    </xdr:from>
    <xdr:to>
      <xdr:col>13</xdr:col>
      <xdr:colOff>164554</xdr:colOff>
      <xdr:row>14</xdr:row>
      <xdr:rowOff>76200</xdr:rowOff>
    </xdr:to>
    <xdr:pic>
      <xdr:nvPicPr>
        <xdr:cNvPr id="2048" name="Graphic 2047" descr="Users">
          <a:extLst>
            <a:ext uri="{FF2B5EF4-FFF2-40B4-BE49-F238E27FC236}">
              <a16:creationId xmlns:a16="http://schemas.microsoft.com/office/drawing/2014/main" id="{A508977E-B0A3-49DB-BFB0-F0FBE074E5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6496" y="1828800"/>
          <a:ext cx="772858" cy="914400"/>
        </a:xfrm>
        <a:prstGeom prst="rect">
          <a:avLst/>
        </a:prstGeom>
      </xdr:spPr>
    </xdr:pic>
    <xdr:clientData/>
  </xdr:twoCellAnchor>
  <xdr:twoCellAnchor editAs="oneCell">
    <xdr:from>
      <xdr:col>16</xdr:col>
      <xdr:colOff>128645</xdr:colOff>
      <xdr:row>11</xdr:row>
      <xdr:rowOff>45720</xdr:rowOff>
    </xdr:from>
    <xdr:to>
      <xdr:col>17</xdr:col>
      <xdr:colOff>133350</xdr:colOff>
      <xdr:row>15</xdr:row>
      <xdr:rowOff>59050</xdr:rowOff>
    </xdr:to>
    <xdr:pic>
      <xdr:nvPicPr>
        <xdr:cNvPr id="2061" name="Picture 2060">
          <a:extLst>
            <a:ext uri="{FF2B5EF4-FFF2-40B4-BE49-F238E27FC236}">
              <a16:creationId xmlns:a16="http://schemas.microsoft.com/office/drawing/2014/main" id="{7C0C1AB9-CE2D-4CE7-EC5F-6417FE2CE88F}"/>
            </a:ext>
          </a:extLst>
        </xdr:cNvPr>
        <xdr:cNvPicPr>
          <a:picLocks noChangeAspect="1"/>
        </xdr:cNvPicPr>
      </xdr:nvPicPr>
      <xdr:blipFill>
        <a:blip xmlns:r="http://schemas.openxmlformats.org/officeDocument/2006/relationships" r:embed="rId3">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9882245" y="2141220"/>
          <a:ext cx="614305" cy="775330"/>
        </a:xfrm>
        <a:prstGeom prst="rect">
          <a:avLst/>
        </a:prstGeom>
      </xdr:spPr>
    </xdr:pic>
    <xdr:clientData/>
  </xdr:twoCellAnchor>
  <xdr:twoCellAnchor editAs="oneCell">
    <xdr:from>
      <xdr:col>3</xdr:col>
      <xdr:colOff>548640</xdr:colOff>
      <xdr:row>20</xdr:row>
      <xdr:rowOff>152400</xdr:rowOff>
    </xdr:from>
    <xdr:to>
      <xdr:col>5</xdr:col>
      <xdr:colOff>121920</xdr:colOff>
      <xdr:row>25</xdr:row>
      <xdr:rowOff>30480</xdr:rowOff>
    </xdr:to>
    <xdr:pic>
      <xdr:nvPicPr>
        <xdr:cNvPr id="2083" name="Graphic 2082" descr="Group of people">
          <a:extLst>
            <a:ext uri="{FF2B5EF4-FFF2-40B4-BE49-F238E27FC236}">
              <a16:creationId xmlns:a16="http://schemas.microsoft.com/office/drawing/2014/main" id="{81E61DD1-CC1D-4DF6-A710-5EB8F03CFD80}"/>
            </a:ext>
          </a:extLst>
        </xdr:cNvPr>
        <xdr:cNvPicPr>
          <a:picLocks noChangeAspect="1"/>
        </xdr:cNvPicPr>
      </xdr:nvPicPr>
      <xdr:blipFill>
        <a:blip xmlns:r="http://schemas.openxmlformats.org/officeDocument/2006/relationships" r:embed="rId4">
          <a:duotone>
            <a:schemeClr val="accent5">
              <a:shade val="45000"/>
              <a:satMod val="135000"/>
            </a:schemeClr>
            <a:prstClr val="white"/>
          </a:duotone>
          <a:lum bright="15000" contrast="2000"/>
          <a:extLst>
            <a:ext uri="{96DAC541-7B7A-43D3-8B79-37D633B846F1}">
              <asvg:svgBlip xmlns:asvg="http://schemas.microsoft.com/office/drawing/2016/SVG/main" r:embed="rId5"/>
            </a:ext>
          </a:extLst>
        </a:blip>
        <a:stretch>
          <a:fillRect/>
        </a:stretch>
      </xdr:blipFill>
      <xdr:spPr>
        <a:xfrm>
          <a:off x="2377440" y="3810000"/>
          <a:ext cx="792480" cy="792480"/>
        </a:xfrm>
        <a:prstGeom prst="rect">
          <a:avLst/>
        </a:prstGeom>
      </xdr:spPr>
    </xdr:pic>
    <xdr:clientData/>
  </xdr:twoCellAnchor>
  <xdr:twoCellAnchor editAs="oneCell">
    <xdr:from>
      <xdr:col>8</xdr:col>
      <xdr:colOff>400050</xdr:colOff>
      <xdr:row>19</xdr:row>
      <xdr:rowOff>7620</xdr:rowOff>
    </xdr:from>
    <xdr:to>
      <xdr:col>10</xdr:col>
      <xdr:colOff>293370</xdr:colOff>
      <xdr:row>25</xdr:row>
      <xdr:rowOff>30480</xdr:rowOff>
    </xdr:to>
    <xdr:pic>
      <xdr:nvPicPr>
        <xdr:cNvPr id="2093" name="Picture 2092">
          <a:extLst>
            <a:ext uri="{FF2B5EF4-FFF2-40B4-BE49-F238E27FC236}">
              <a16:creationId xmlns:a16="http://schemas.microsoft.com/office/drawing/2014/main" id="{39A0A08A-0B9F-46B5-847F-21C52F5C5EF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276850" y="3627120"/>
          <a:ext cx="1112520" cy="1165860"/>
        </a:xfrm>
        <a:prstGeom prst="rect">
          <a:avLst/>
        </a:prstGeom>
      </xdr:spPr>
    </xdr:pic>
    <xdr:clientData/>
  </xdr:twoCellAnchor>
  <xdr:twoCellAnchor>
    <xdr:from>
      <xdr:col>14</xdr:col>
      <xdr:colOff>68580</xdr:colOff>
      <xdr:row>28</xdr:row>
      <xdr:rowOff>176530</xdr:rowOff>
    </xdr:from>
    <xdr:to>
      <xdr:col>29</xdr:col>
      <xdr:colOff>7620</xdr:colOff>
      <xdr:row>45</xdr:row>
      <xdr:rowOff>156209</xdr:rowOff>
    </xdr:to>
    <xdr:graphicFrame macro="">
      <xdr:nvGraphicFramePr>
        <xdr:cNvPr id="2100" name="Chart 2099">
          <a:extLst>
            <a:ext uri="{FF2B5EF4-FFF2-40B4-BE49-F238E27FC236}">
              <a16:creationId xmlns:a16="http://schemas.microsoft.com/office/drawing/2014/main" id="{6D0FB84B-9C62-48C3-BB2D-2F2ED1370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453390</xdr:colOff>
      <xdr:row>49</xdr:row>
      <xdr:rowOff>26670</xdr:rowOff>
    </xdr:from>
    <xdr:to>
      <xdr:col>30</xdr:col>
      <xdr:colOff>209549</xdr:colOff>
      <xdr:row>70</xdr:row>
      <xdr:rowOff>26670</xdr:rowOff>
    </xdr:to>
    <xdr:sp macro="" textlink="">
      <xdr:nvSpPr>
        <xdr:cNvPr id="2109" name="Rectangle: Rounded Corners 2108">
          <a:extLst>
            <a:ext uri="{FF2B5EF4-FFF2-40B4-BE49-F238E27FC236}">
              <a16:creationId xmlns:a16="http://schemas.microsoft.com/office/drawing/2014/main" id="{440A3C65-66AB-46E2-94C1-2F790D8A9191}"/>
            </a:ext>
          </a:extLst>
        </xdr:cNvPr>
        <xdr:cNvSpPr/>
      </xdr:nvSpPr>
      <xdr:spPr>
        <a:xfrm>
          <a:off x="8378190" y="9361170"/>
          <a:ext cx="10119359" cy="4000500"/>
        </a:xfrm>
        <a:prstGeom prst="roundRect">
          <a:avLst>
            <a:gd name="adj" fmla="val 13956"/>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182880</xdr:colOff>
      <xdr:row>6</xdr:row>
      <xdr:rowOff>95250</xdr:rowOff>
    </xdr:from>
    <xdr:to>
      <xdr:col>30</xdr:col>
      <xdr:colOff>152400</xdr:colOff>
      <xdr:row>26</xdr:row>
      <xdr:rowOff>15240</xdr:rowOff>
    </xdr:to>
    <xdr:sp macro="" textlink="">
      <xdr:nvSpPr>
        <xdr:cNvPr id="2110" name="Rectangle: Rounded Corners 2109">
          <a:extLst>
            <a:ext uri="{FF2B5EF4-FFF2-40B4-BE49-F238E27FC236}">
              <a16:creationId xmlns:a16="http://schemas.microsoft.com/office/drawing/2014/main" id="{6079C27A-D58C-4E27-958F-D5B9469D6797}"/>
            </a:ext>
          </a:extLst>
        </xdr:cNvPr>
        <xdr:cNvSpPr/>
      </xdr:nvSpPr>
      <xdr:spPr>
        <a:xfrm>
          <a:off x="12374880" y="1238250"/>
          <a:ext cx="6065520" cy="3729990"/>
        </a:xfrm>
        <a:prstGeom prst="roundRect">
          <a:avLst>
            <a:gd name="adj" fmla="val 12707"/>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noFill/>
            <a:latin typeface="+mn-lt"/>
            <a:ea typeface="+mn-ea"/>
            <a:cs typeface="+mn-cs"/>
          </a:endParaRPr>
        </a:p>
      </xdr:txBody>
    </xdr:sp>
    <xdr:clientData/>
  </xdr:twoCellAnchor>
  <xdr:twoCellAnchor>
    <xdr:from>
      <xdr:col>20</xdr:col>
      <xdr:colOff>361950</xdr:colOff>
      <xdr:row>6</xdr:row>
      <xdr:rowOff>152400</xdr:rowOff>
    </xdr:from>
    <xdr:to>
      <xdr:col>29</xdr:col>
      <xdr:colOff>323850</xdr:colOff>
      <xdr:row>25</xdr:row>
      <xdr:rowOff>171450</xdr:rowOff>
    </xdr:to>
    <xdr:graphicFrame macro="">
      <xdr:nvGraphicFramePr>
        <xdr:cNvPr id="2113" name="Chart 2112">
          <a:extLst>
            <a:ext uri="{FF2B5EF4-FFF2-40B4-BE49-F238E27FC236}">
              <a16:creationId xmlns:a16="http://schemas.microsoft.com/office/drawing/2014/main" id="{32A5D05E-68AD-44B4-910D-5A4AC318E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552450</xdr:colOff>
      <xdr:row>50</xdr:row>
      <xdr:rowOff>57150</xdr:rowOff>
    </xdr:from>
    <xdr:to>
      <xdr:col>12</xdr:col>
      <xdr:colOff>190500</xdr:colOff>
      <xdr:row>68</xdr:row>
      <xdr:rowOff>137160</xdr:rowOff>
    </xdr:to>
    <xdr:graphicFrame macro="">
      <xdr:nvGraphicFramePr>
        <xdr:cNvPr id="2115" name="Chart 2114">
          <a:extLst>
            <a:ext uri="{FF2B5EF4-FFF2-40B4-BE49-F238E27FC236}">
              <a16:creationId xmlns:a16="http://schemas.microsoft.com/office/drawing/2014/main" id="{0912156A-3248-47C5-A1BC-904EC5EC8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213360</xdr:colOff>
      <xdr:row>23</xdr:row>
      <xdr:rowOff>57150</xdr:rowOff>
    </xdr:from>
    <xdr:to>
      <xdr:col>3</xdr:col>
      <xdr:colOff>106680</xdr:colOff>
      <xdr:row>36</xdr:row>
      <xdr:rowOff>91440</xdr:rowOff>
    </xdr:to>
    <mc:AlternateContent xmlns:mc="http://schemas.openxmlformats.org/markup-compatibility/2006" xmlns:a14="http://schemas.microsoft.com/office/drawing/2010/main">
      <mc:Choice Requires="a14">
        <xdr:graphicFrame macro="">
          <xdr:nvGraphicFramePr>
            <xdr:cNvPr id="2119" name="BMI Category 1">
              <a:extLst>
                <a:ext uri="{FF2B5EF4-FFF2-40B4-BE49-F238E27FC236}">
                  <a16:creationId xmlns:a16="http://schemas.microsoft.com/office/drawing/2014/main" id="{59941F35-CA24-49ED-9059-EF1D560D088C}"/>
                </a:ext>
              </a:extLst>
            </xdr:cNvPr>
            <xdr:cNvGraphicFramePr/>
          </xdr:nvGraphicFramePr>
          <xdr:xfrm>
            <a:off x="0" y="0"/>
            <a:ext cx="0" cy="0"/>
          </xdr:xfrm>
          <a:graphic>
            <a:graphicData uri="http://schemas.microsoft.com/office/drawing/2010/slicer">
              <sle:slicer xmlns:sle="http://schemas.microsoft.com/office/drawing/2010/slicer" name="BMI Category 1"/>
            </a:graphicData>
          </a:graphic>
        </xdr:graphicFrame>
      </mc:Choice>
      <mc:Fallback xmlns="">
        <xdr:sp macro="" textlink="">
          <xdr:nvSpPr>
            <xdr:cNvPr id="0" name=""/>
            <xdr:cNvSpPr>
              <a:spLocks noTextEdit="1"/>
            </xdr:cNvSpPr>
          </xdr:nvSpPr>
          <xdr:spPr>
            <a:xfrm>
              <a:off x="213360" y="4472940"/>
              <a:ext cx="1722120"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171451</xdr:colOff>
      <xdr:row>37</xdr:row>
      <xdr:rowOff>3810</xdr:rowOff>
    </xdr:from>
    <xdr:to>
      <xdr:col>3</xdr:col>
      <xdr:colOff>125730</xdr:colOff>
      <xdr:row>46</xdr:row>
      <xdr:rowOff>19050</xdr:rowOff>
    </xdr:to>
    <mc:AlternateContent xmlns:mc="http://schemas.openxmlformats.org/markup-compatibility/2006">
      <mc:Choice xmlns:a14="http://schemas.microsoft.com/office/drawing/2010/main" Requires="a14">
        <xdr:graphicFrame macro="">
          <xdr:nvGraphicFramePr>
            <xdr:cNvPr id="2120" name="Age Group 1">
              <a:extLst>
                <a:ext uri="{FF2B5EF4-FFF2-40B4-BE49-F238E27FC236}">
                  <a16:creationId xmlns:a16="http://schemas.microsoft.com/office/drawing/2014/main" id="{A357C7F3-DC11-4993-93F7-C9B87B02D5B6}"/>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71451" y="7052310"/>
              <a:ext cx="1783079" cy="1729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274320</xdr:colOff>
      <xdr:row>13</xdr:row>
      <xdr:rowOff>60959</xdr:rowOff>
    </xdr:from>
    <xdr:to>
      <xdr:col>3</xdr:col>
      <xdr:colOff>137160</xdr:colOff>
      <xdr:row>22</xdr:row>
      <xdr:rowOff>30480</xdr:rowOff>
    </xdr:to>
    <mc:AlternateContent xmlns:mc="http://schemas.openxmlformats.org/markup-compatibility/2006" xmlns:a14="http://schemas.microsoft.com/office/drawing/2010/main">
      <mc:Choice Requires="a14">
        <xdr:graphicFrame macro="">
          <xdr:nvGraphicFramePr>
            <xdr:cNvPr id="2122" name="Glucose Category 1">
              <a:extLst>
                <a:ext uri="{FF2B5EF4-FFF2-40B4-BE49-F238E27FC236}">
                  <a16:creationId xmlns:a16="http://schemas.microsoft.com/office/drawing/2014/main" id="{2164B0D9-48E4-4CBB-8F3B-938755EE6ABB}"/>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Glucose Category 1"/>
            </a:graphicData>
          </a:graphic>
        </xdr:graphicFrame>
      </mc:Choice>
      <mc:Fallback xmlns="">
        <xdr:sp macro="" textlink="">
          <xdr:nvSpPr>
            <xdr:cNvPr id="0" name=""/>
            <xdr:cNvSpPr>
              <a:spLocks noTextEdit="1"/>
            </xdr:cNvSpPr>
          </xdr:nvSpPr>
          <xdr:spPr>
            <a:xfrm>
              <a:off x="274320" y="2537459"/>
              <a:ext cx="1691640" cy="1684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171450</xdr:colOff>
      <xdr:row>50</xdr:row>
      <xdr:rowOff>38100</xdr:rowOff>
    </xdr:from>
    <xdr:to>
      <xdr:col>29</xdr:col>
      <xdr:colOff>438150</xdr:colOff>
      <xdr:row>69</xdr:row>
      <xdr:rowOff>133350</xdr:rowOff>
    </xdr:to>
    <xdr:graphicFrame macro="">
      <xdr:nvGraphicFramePr>
        <xdr:cNvPr id="7" name="Chart 6">
          <a:extLst>
            <a:ext uri="{FF2B5EF4-FFF2-40B4-BE49-F238E27FC236}">
              <a16:creationId xmlns:a16="http://schemas.microsoft.com/office/drawing/2014/main" id="{D129381F-F370-4880-9150-9F7692523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476250</xdr:colOff>
      <xdr:row>27</xdr:row>
      <xdr:rowOff>152400</xdr:rowOff>
    </xdr:from>
    <xdr:to>
      <xdr:col>12</xdr:col>
      <xdr:colOff>590550</xdr:colOff>
      <xdr:row>45</xdr:row>
      <xdr:rowOff>133350</xdr:rowOff>
    </xdr:to>
    <xdr:graphicFrame macro="">
      <xdr:nvGraphicFramePr>
        <xdr:cNvPr id="8" name="Chart 7">
          <a:extLst>
            <a:ext uri="{FF2B5EF4-FFF2-40B4-BE49-F238E27FC236}">
              <a16:creationId xmlns:a16="http://schemas.microsoft.com/office/drawing/2014/main" id="{8D419D63-CE0A-452D-9911-E95337BB7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189.90617858796" backgroundQuery="1" createdVersion="8" refreshedVersion="8" minRefreshableVersion="3" recordCount="0" supportSubquery="1" supportAdvancedDrill="1" xr:uid="{81A35953-7E39-41FC-9C24-69B3D5C31E86}">
  <cacheSource type="external" connectionId="1"/>
  <cacheFields count="7">
    <cacheField name="[Measures].[Avg Glucose]" caption="Avg Glucose" numFmtId="0" hierarchy="47" level="32767"/>
    <cacheField name="[Measures].[Avg Blood Pressure]" caption="Avg Blood Pressure" numFmtId="0" hierarchy="48" level="32767"/>
    <cacheField name="[Measures].[Avg Insulin]" caption="Avg Insulin" numFmtId="0" hierarchy="49" level="32767"/>
    <cacheField name="[Measures].[Avg BMI]" caption="Avg BMI" numFmtId="0" hierarchy="29" level="32767"/>
    <cacheField name="[Measures].[Total Diabetic Patients]" caption="Total Diabetic Patients" numFmtId="0" hierarchy="32" level="32767"/>
    <cacheField name="[Measures].[Total Non-Diabetic Patients]" caption="Total Non-Diabetic Patients" numFmtId="0" hierarchy="33" level="32767"/>
    <cacheField name="[Table1].[Outcome].[Outcome]" caption="Outcome" numFmtId="0" hierarchy="1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Outcome].&amp;[0]"/>
            <x15:cachedUniqueName index="1" name="[Table1].[Outcome].&amp;[1]"/>
          </x15:cachedUniqueNames>
        </ext>
      </extLst>
    </cacheField>
  </cacheFields>
  <cacheHierarchies count="52">
    <cacheHierarchy uniqueName="[Table1].[Pregnancies]" caption="Pregnancies" attribute="1" defaultMemberUniqueName="[Table1].[Pregnancies].[All]" allUniqueName="[Table1].[Pregnancies].[All]" dimensionUniqueName="[Table1]" displayFolder="" count="0" memberValueDatatype="20" unbalanced="0"/>
    <cacheHierarchy uniqueName="[Table1].[Glucose Category]" caption="Glucose Category" attribute="1" defaultMemberUniqueName="[Table1].[Glucose Category].[All]" allUniqueName="[Table1].[Glucose Category].[All]" dimensionUniqueName="[Table1]" displayFolder="" count="0" memberValueDatatype="130" unbalanced="0"/>
    <cacheHierarchy uniqueName="[Table1].[Glucose]" caption="Glucose" attribute="1" defaultMemberUniqueName="[Table1].[Glucose].[All]" allUniqueName="[Table1].[Glucose].[All]" dimensionUniqueName="[Table1]" displayFolder="" count="0" memberValueDatatype="20" unbalanced="0"/>
    <cacheHierarchy uniqueName="[Table1].[BloodPressure]" caption="BloodPressure" attribute="1" defaultMemberUniqueName="[Table1].[BloodPressure].[All]" allUniqueName="[Table1].[BloodPressure].[All]" dimensionUniqueName="[Table1]" displayFolder="" count="0" memberValueDatatype="20" unbalanced="0"/>
    <cacheHierarchy uniqueName="[Table1].[SkinThickness]" caption="SkinThickness" attribute="1" defaultMemberUniqueName="[Table1].[SkinThickness].[All]" allUniqueName="[Table1].[SkinThickness].[All]" dimensionUniqueName="[Table1]" displayFolder="" count="0" memberValueDatatype="20" unbalanced="0"/>
    <cacheHierarchy uniqueName="[Table1].[Insulin]" caption="Insulin" attribute="1" defaultMemberUniqueName="[Table1].[Insulin].[All]" allUniqueName="[Table1].[Insulin].[All]" dimensionUniqueName="[Table1]" displayFolder="" count="0" memberValueDatatype="20" unbalanced="0"/>
    <cacheHierarchy uniqueName="[Table1].[BMI Category]" caption="BMI Category" attribute="1" defaultMemberUniqueName="[Table1].[BMI Category].[All]" allUniqueName="[Table1].[BMI Category].[All]" dimensionUniqueName="[Table1]" displayFolder="" count="0" memberValueDatatype="130" unbalanced="0"/>
    <cacheHierarchy uniqueName="[Table1].[BMI]" caption="BMI" attribute="1" defaultMemberUniqueName="[Table1].[BMI].[All]" allUniqueName="[Table1].[BMI].[All]" dimensionUniqueName="[Table1]" displayFolder="" count="0" memberValueDatatype="5" unbalanced="0"/>
    <cacheHierarchy uniqueName="[Table1].[DiabetesPedigreeFunction]" caption="DiabetesPedigreeFunction" attribute="1" defaultMemberUniqueName="[Table1].[DiabetesPedigreeFunction].[All]" allUniqueName="[Table1].[DiabetesPedigreeFunction].[All]" dimensionUniqueName="[Table1]" displayFolder="" count="0" memberValueDatatype="5"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Outcome]" caption="Outcome" attribute="1" defaultMemberUniqueName="[Table1].[Outcome].[All]" allUniqueName="[Table1].[Outcome].[All]" dimensionUniqueName="[Table1]" displayFolder="" count="2" memberValueDatatype="20" unbalanced="0">
      <fieldsUsage count="2">
        <fieldUsage x="-1"/>
        <fieldUsage x="6"/>
      </fieldsUsage>
    </cacheHierarchy>
    <cacheHierarchy uniqueName="[Measures].[Sum of Glucose]" caption="Sum of Glucose" measure="1" displayFolder="" measureGroup="Table1" count="0">
      <extLst>
        <ext xmlns:x15="http://schemas.microsoft.com/office/spreadsheetml/2010/11/main" uri="{B97F6D7D-B522-45F9-BDA1-12C45D357490}">
          <x15:cacheHierarchy aggregatedColumn="2"/>
        </ext>
      </extLst>
    </cacheHierarchy>
    <cacheHierarchy uniqueName="[Measures].[Min of Glucose]" caption="Min of Glucose" measure="1" displayFolder="" measureGroup="Table1" count="0">
      <extLst>
        <ext xmlns:x15="http://schemas.microsoft.com/office/spreadsheetml/2010/11/main" uri="{B97F6D7D-B522-45F9-BDA1-12C45D357490}">
          <x15:cacheHierarchy aggregatedColumn="2"/>
        </ext>
      </extLst>
    </cacheHierarchy>
    <cacheHierarchy uniqueName="[Measures].[Max of Glucose]" caption="Max of Glucose" measure="1" displayFolder="" measureGroup="Table1" count="0">
      <extLst>
        <ext xmlns:x15="http://schemas.microsoft.com/office/spreadsheetml/2010/11/main" uri="{B97F6D7D-B522-45F9-BDA1-12C45D357490}">
          <x15:cacheHierarchy aggregatedColumn="2"/>
        </ext>
      </extLst>
    </cacheHierarchy>
    <cacheHierarchy uniqueName="[Measures].[Count of Glucose]" caption="Count of Glucose" measure="1" displayFolder="" measureGroup="Table1" count="0">
      <extLst>
        <ext xmlns:x15="http://schemas.microsoft.com/office/spreadsheetml/2010/11/main" uri="{B97F6D7D-B522-45F9-BDA1-12C45D357490}">
          <x15:cacheHierarchy aggregatedColumn="2"/>
        </ext>
      </extLst>
    </cacheHierarchy>
    <cacheHierarchy uniqueName="[Measures].[Distinct Count of Glucose]" caption="Distinct Count of Glucose" measure="1" displayFolder="" measureGroup="Table1" count="0">
      <extLst>
        <ext xmlns:x15="http://schemas.microsoft.com/office/spreadsheetml/2010/11/main" uri="{B97F6D7D-B522-45F9-BDA1-12C45D357490}">
          <x15:cacheHierarchy aggregatedColumn="2"/>
        </ext>
      </extLst>
    </cacheHierarchy>
    <cacheHierarchy uniqueName="[Measures].[Average of Glucose]" caption="Average of Glucose" measure="1" displayFolder="" measureGroup="Table1" count="0">
      <extLst>
        <ext xmlns:x15="http://schemas.microsoft.com/office/spreadsheetml/2010/11/main" uri="{B97F6D7D-B522-45F9-BDA1-12C45D357490}">
          <x15:cacheHierarchy aggregatedColumn="2"/>
        </ext>
      </extLst>
    </cacheHierarchy>
    <cacheHierarchy uniqueName="[Measures].[Sum of Outcome]" caption="Sum of Outcome" measure="1" displayFolder="" measureGroup="Table1" count="0">
      <extLst>
        <ext xmlns:x15="http://schemas.microsoft.com/office/spreadsheetml/2010/11/main" uri="{B97F6D7D-B522-45F9-BDA1-12C45D357490}">
          <x15:cacheHierarchy aggregatedColumn="11"/>
        </ext>
      </extLst>
    </cacheHierarchy>
    <cacheHierarchy uniqueName="[Measures].[Count of Outcome]" caption="Count of Outcome" measure="1" displayFolder="" measureGroup="Table1" count="0">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extLst>
        <ext xmlns:x15="http://schemas.microsoft.com/office/spreadsheetml/2010/11/main" uri="{B97F6D7D-B522-45F9-BDA1-12C45D357490}">
          <x15:cacheHierarchy aggregatedColumn="9"/>
        </ext>
      </extLst>
    </cacheHierarchy>
    <cacheHierarchy uniqueName="[Measures].[Average of Outcome]" caption="Average of Outcome" measure="1" displayFolder="" measureGroup="Table1" count="0">
      <extLst>
        <ext xmlns:x15="http://schemas.microsoft.com/office/spreadsheetml/2010/11/main" uri="{B97F6D7D-B522-45F9-BDA1-12C45D357490}">
          <x15:cacheHierarchy aggregatedColumn="11"/>
        </ext>
      </extLst>
    </cacheHierarchy>
    <cacheHierarchy uniqueName="[Measures].[Sum of Pregnancies]" caption="Sum of Pregnancies" measure="1" displayFolder="" measureGroup="Table1" count="0">
      <extLst>
        <ext xmlns:x15="http://schemas.microsoft.com/office/spreadsheetml/2010/11/main" uri="{B97F6D7D-B522-45F9-BDA1-12C45D357490}">
          <x15:cacheHierarchy aggregatedColumn="0"/>
        </ext>
      </extLst>
    </cacheHierarchy>
    <cacheHierarchy uniqueName="[Measures].[Count of Pregnancies]" caption="Count of Pregnancies" measure="1" displayFolder="" measureGroup="Table1" count="0">
      <extLst>
        <ext xmlns:x15="http://schemas.microsoft.com/office/spreadsheetml/2010/11/main" uri="{B97F6D7D-B522-45F9-BDA1-12C45D357490}">
          <x15:cacheHierarchy aggregatedColumn="0"/>
        </ext>
      </extLst>
    </cacheHierarchy>
    <cacheHierarchy uniqueName="[Measures].[Count of BMI Category]" caption="Count of BMI Category" measure="1" displayFolder="" measureGroup="Table1" count="0">
      <extLst>
        <ext xmlns:x15="http://schemas.microsoft.com/office/spreadsheetml/2010/11/main" uri="{B97F6D7D-B522-45F9-BDA1-12C45D357490}">
          <x15:cacheHierarchy aggregatedColumn="6"/>
        </ext>
      </extLst>
    </cacheHierarchy>
    <cacheHierarchy uniqueName="[Measures].[Sum of BMI]" caption="Sum of BMI" measure="1" displayFolder="" measureGroup="Table1" count="0">
      <extLst>
        <ext xmlns:x15="http://schemas.microsoft.com/office/spreadsheetml/2010/11/main" uri="{B97F6D7D-B522-45F9-BDA1-12C45D357490}">
          <x15:cacheHierarchy aggregatedColumn="7"/>
        </ext>
      </extLst>
    </cacheHierarchy>
    <cacheHierarchy uniqueName="[Measures].[Count of BMI]" caption="Count of BMI" measure="1" displayFolder="" measureGroup="Table1" count="0">
      <extLst>
        <ext xmlns:x15="http://schemas.microsoft.com/office/spreadsheetml/2010/11/main" uri="{B97F6D7D-B522-45F9-BDA1-12C45D357490}">
          <x15:cacheHierarchy aggregatedColumn="7"/>
        </ext>
      </extLst>
    </cacheHierarchy>
    <cacheHierarchy uniqueName="[Measures].[Count of Glucose Category]" caption="Count of Glucose Category" measure="1" displayFolder="" measureGroup="Table1" count="0">
      <extLst>
        <ext xmlns:x15="http://schemas.microsoft.com/office/spreadsheetml/2010/11/main" uri="{B97F6D7D-B522-45F9-BDA1-12C45D357490}">
          <x15:cacheHierarchy aggregatedColumn="1"/>
        </ext>
      </extLst>
    </cacheHierarchy>
    <cacheHierarchy uniqueName="[Measures].[Avg Glucose Level]" caption="Avg Glucose Level" measure="1" displayFolder="" measureGroup="Table1" count="0"/>
    <cacheHierarchy uniqueName="[Measures].[Avg BMI]" caption="Avg BMI" measure="1" displayFolder="" measureGroup="Table1" count="0" oneField="1">
      <fieldsUsage count="1">
        <fieldUsage x="3"/>
      </fieldsUsage>
    </cacheHierarchy>
    <cacheHierarchy uniqueName="[Measures].[Avg Age]" caption="Avg Age" measure="1" displayFolder="" measureGroup="Table1" count="0"/>
    <cacheHierarchy uniqueName="[Measures].[Total Patients]" caption="Total Patients" measure="1" displayFolder="" measureGroup="Table1" count="0"/>
    <cacheHierarchy uniqueName="[Measures].[Total Diabetic Patients]" caption="Total Diabetic Patients" measure="1" displayFolder="" measureGroup="Table1" count="0" oneField="1">
      <fieldsUsage count="1">
        <fieldUsage x="4"/>
      </fieldsUsage>
    </cacheHierarchy>
    <cacheHierarchy uniqueName="[Measures].[Total Non-Diabetic Patients]" caption="Total Non-Diabetic Patients" measure="1" displayFolder="" measureGroup="Table1" count="0" oneField="1">
      <fieldsUsage count="1">
        <fieldUsage x="5"/>
      </fieldsUsage>
    </cacheHierarchy>
    <cacheHierarchy uniqueName="[Measures].[Diabetes Rate % ]" caption="Diabetes Rate % " measure="1" displayFolder="" measureGroup="Table1" count="0"/>
    <cacheHierarchy uniqueName="[Measures].[High Glucose Patients (&gt;140)]" caption="High Glucose Patients (&gt;140)" measure="1" displayFolder="" measureGroup="Table1" count="0"/>
    <cacheHierarchy uniqueName="[Measures].[Obese Patients (BMI ≥ 30)]" caption="Obese Patients (BMI ≥ 30)" measure="1" displayFolder="" measureGroup="Table1" count="0"/>
    <cacheHierarchy uniqueName="[Measures].[Avg Pregnancies]" caption="Avg Pregnancies" measure="1" displayFolder="" measureGroup="Table1" count="0"/>
    <cacheHierarchy uniqueName="[Measures].[Pregnant Patients]" caption="Pregnant Patients" measure="1" displayFolder="" measureGroup="Table1" count="0"/>
    <cacheHierarchy uniqueName="[Measures].[Non-Pregnant Patients]" caption="Non-Pregnant Patients" measure="1" displayFolder="" measureGroup="Table1" count="0"/>
    <cacheHierarchy uniqueName="[Measures].[TotalPregnantPatients]" caption="TotalPregnantPatients" measure="1" displayFolder="" measureGroup="Table1" count="0"/>
    <cacheHierarchy uniqueName="[Measures].[Pregnant Diabetic Patients]" caption="Pregnant Diabetic Patients" measure="1" displayFolder="" measureGroup="Table1" count="0"/>
    <cacheHierarchy uniqueName="[Measures].[Pregnant Non-Diabetic Patients]" caption="Pregnant Non-Diabetic Patients" measure="1" displayFolder="" measureGroup="Table1" count="0"/>
    <cacheHierarchy uniqueName="[Measures].[Young Patients (&lt;30)]" caption="Young Patients (&lt;30)" measure="1" displayFolder="" measureGroup="Table1" count="0"/>
    <cacheHierarchy uniqueName="[Measures].[Middle Age Patients(30–50)]" caption="Middle Age Patients(30–50)" measure="1" displayFolder="" measureGroup="Table1" count="0"/>
    <cacheHierarchy uniqueName="[Measures].[Older Patients (&gt;50)]" caption="Older Patients (&gt;50)" measure="1" displayFolder="" measureGroup="Table1" count="0"/>
    <cacheHierarchy uniqueName="[Measures].[Obese Diabetic]" caption="Obese Diabetic" measure="1" displayFolder="" measureGroup="Table1" count="0"/>
    <cacheHierarchy uniqueName="[Measures].[Avg Glucose]" caption="Avg Glucose" measure="1" displayFolder="" measureGroup="Table1" count="0" oneField="1">
      <fieldsUsage count="1">
        <fieldUsage x="0"/>
      </fieldsUsage>
    </cacheHierarchy>
    <cacheHierarchy uniqueName="[Measures].[Avg Blood Pressure]" caption="Avg Blood Pressure" measure="1" displayFolder="" measureGroup="Table1" count="0" oneField="1">
      <fieldsUsage count="1">
        <fieldUsage x="1"/>
      </fieldsUsage>
    </cacheHierarchy>
    <cacheHierarchy uniqueName="[Measures].[Avg Insulin]" caption="Avg Insulin" measure="1" displayFolder="" measureGroup="Table1" count="0" oneField="1">
      <fieldsUsage count="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189.920245833331" createdVersion="8" refreshedVersion="8" minRefreshableVersion="3" recordCount="0" supportSubquery="1" supportAdvancedDrill="1" xr:uid="{5D8533F9-725B-421B-BDA9-27C78A1229BF}">
  <cacheSource type="external" connectionId="1"/>
  <cacheFields count="15">
    <cacheField name="[Measures].[Total Patients]" caption="Total Patients" numFmtId="0" hierarchy="31" level="32767"/>
    <cacheField name="[Measures].[Total Diabetic Patients]" caption="Total Diabetic Patients" numFmtId="0" hierarchy="32" level="32767"/>
    <cacheField name="[Measures].[Total Non-Diabetic Patients]" caption="Total Non-Diabetic Patients" numFmtId="0" hierarchy="33" level="32767"/>
    <cacheField name="[Measures].[Avg BMI]" caption="Avg BMI" numFmtId="0" hierarchy="29" level="32767"/>
    <cacheField name="[Measures].[Avg Age]" caption="Avg Age" numFmtId="0" hierarchy="30" level="32767"/>
    <cacheField name="[Measures].[Diabetes Rate % ]" caption="Diabetes Rate % " numFmtId="0" hierarchy="34" level="32767"/>
    <cacheField name="[Measures].[Obese Patients (BMI ≥ 30)]" caption="Obese Patients (BMI ≥ 30)" numFmtId="0" hierarchy="36" level="32767"/>
    <cacheField name="[Measures].[Avg Pregnancies]" caption="Avg Pregnancies" numFmtId="0" hierarchy="37" level="32767"/>
    <cacheField name="[Measures].[Young Patients (&lt;30)]" caption="Young Patients (&lt;30)" numFmtId="0" hierarchy="43" level="32767"/>
    <cacheField name="[Measures].[Older Patients (&gt;50)]" caption="Older Patients (&gt;50)" numFmtId="0" hierarchy="45" level="32767"/>
    <cacheField name="[Measures].[Obese Diabetic]" caption="Obese Diabetic" numFmtId="0" hierarchy="46" level="32767"/>
    <cacheField name="[Measures].[Avg Glucose Level]" caption="Avg Glucose Level" numFmtId="0" hierarchy="28" level="32767"/>
    <cacheField name="[Measures].[High Glucose Patients (&gt;140)]" caption="High Glucose Patients (&gt;140)" numFmtId="0" hierarchy="35" level="32767"/>
    <cacheField name="[Measures].[Middle Age Patients(30–50)]" caption="Middle Age Patients(30–50)" numFmtId="0" hierarchy="44" level="32767"/>
    <cacheField name="[Table1].[Age Group].[Age Group]" caption="Age Group" numFmtId="0" hierarchy="9" level="1">
      <sharedItems containsSemiMixedTypes="0" containsNonDate="0" containsString="0"/>
    </cacheField>
  </cacheFields>
  <cacheHierarchies count="52">
    <cacheHierarchy uniqueName="[Table1].[Pregnancies]" caption="Pregnancies" attribute="1" defaultMemberUniqueName="[Table1].[Pregnancies].[All]" allUniqueName="[Table1].[Pregnancies].[All]" dimensionUniqueName="[Table1]" displayFolder="" count="0" memberValueDatatype="20" unbalanced="0"/>
    <cacheHierarchy uniqueName="[Table1].[Glucose Category]" caption="Glucose Category" attribute="1" defaultMemberUniqueName="[Table1].[Glucose Category].[All]" allUniqueName="[Table1].[Glucose Category].[All]" dimensionUniqueName="[Table1]" displayFolder="" count="2" memberValueDatatype="130" unbalanced="0"/>
    <cacheHierarchy uniqueName="[Table1].[Glucose]" caption="Glucose" attribute="1" defaultMemberUniqueName="[Table1].[Glucose].[All]" allUniqueName="[Table1].[Glucose].[All]" dimensionUniqueName="[Table1]" displayFolder="" count="0" memberValueDatatype="20" unbalanced="0"/>
    <cacheHierarchy uniqueName="[Table1].[BloodPressure]" caption="BloodPressure" attribute="1" defaultMemberUniqueName="[Table1].[BloodPressure].[All]" allUniqueName="[Table1].[BloodPressure].[All]" dimensionUniqueName="[Table1]" displayFolder="" count="0" memberValueDatatype="20" unbalanced="0"/>
    <cacheHierarchy uniqueName="[Table1].[SkinThickness]" caption="SkinThickness" attribute="1" defaultMemberUniqueName="[Table1].[SkinThickness].[All]" allUniqueName="[Table1].[SkinThickness].[All]" dimensionUniqueName="[Table1]" displayFolder="" count="0" memberValueDatatype="20" unbalanced="0"/>
    <cacheHierarchy uniqueName="[Table1].[Insulin]" caption="Insulin" attribute="1" defaultMemberUniqueName="[Table1].[Insulin].[All]" allUniqueName="[Table1].[Insulin].[All]" dimensionUniqueName="[Table1]" displayFolder="" count="0" memberValueDatatype="20" unbalanced="0"/>
    <cacheHierarchy uniqueName="[Table1].[BMI Category]" caption="BMI Category" attribute="1" defaultMemberUniqueName="[Table1].[BMI Category].[All]" allUniqueName="[Table1].[BMI Category].[All]" dimensionUniqueName="[Table1]" displayFolder="" count="2" memberValueDatatype="130" unbalanced="0"/>
    <cacheHierarchy uniqueName="[Table1].[BMI]" caption="BMI" attribute="1" defaultMemberUniqueName="[Table1].[BMI].[All]" allUniqueName="[Table1].[BMI].[All]" dimensionUniqueName="[Table1]" displayFolder="" count="0" memberValueDatatype="5" unbalanced="0"/>
    <cacheHierarchy uniqueName="[Table1].[DiabetesPedigreeFunction]" caption="DiabetesPedigreeFunction" attribute="1" defaultMemberUniqueName="[Table1].[DiabetesPedigreeFunction].[All]" allUniqueName="[Table1].[DiabetesPedigreeFunction].[All]" dimensionUniqueName="[Table1]" displayFolder="" count="0" memberValueDatatype="5"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14"/>
      </fieldsUsage>
    </cacheHierarchy>
    <cacheHierarchy uniqueName="[Table1].[Age]" caption="Age" attribute="1" defaultMemberUniqueName="[Table1].[Age].[All]" allUniqueName="[Table1].[Age].[All]" dimensionUniqueName="[Table1]" displayFolder="" count="0" memberValueDatatype="20" unbalanced="0"/>
    <cacheHierarchy uniqueName="[Table1].[Outcome]" caption="Outcome" attribute="1" defaultMemberUniqueName="[Table1].[Outcome].[All]" allUniqueName="[Table1].[Outcome].[All]" dimensionUniqueName="[Table1]" displayFolder="" count="0" memberValueDatatype="20" unbalanced="0"/>
    <cacheHierarchy uniqueName="[Measures].[Sum of Glucose]" caption="Sum of Glucose" measure="1" displayFolder="" measureGroup="Table1" count="0">
      <extLst>
        <ext xmlns:x15="http://schemas.microsoft.com/office/spreadsheetml/2010/11/main" uri="{B97F6D7D-B522-45F9-BDA1-12C45D357490}">
          <x15:cacheHierarchy aggregatedColumn="2"/>
        </ext>
      </extLst>
    </cacheHierarchy>
    <cacheHierarchy uniqueName="[Measures].[Min of Glucose]" caption="Min of Glucose" measure="1" displayFolder="" measureGroup="Table1" count="0">
      <extLst>
        <ext xmlns:x15="http://schemas.microsoft.com/office/spreadsheetml/2010/11/main" uri="{B97F6D7D-B522-45F9-BDA1-12C45D357490}">
          <x15:cacheHierarchy aggregatedColumn="2"/>
        </ext>
      </extLst>
    </cacheHierarchy>
    <cacheHierarchy uniqueName="[Measures].[Max of Glucose]" caption="Max of Glucose" measure="1" displayFolder="" measureGroup="Table1" count="0">
      <extLst>
        <ext xmlns:x15="http://schemas.microsoft.com/office/spreadsheetml/2010/11/main" uri="{B97F6D7D-B522-45F9-BDA1-12C45D357490}">
          <x15:cacheHierarchy aggregatedColumn="2"/>
        </ext>
      </extLst>
    </cacheHierarchy>
    <cacheHierarchy uniqueName="[Measures].[Count of Glucose]" caption="Count of Glucose" measure="1" displayFolder="" measureGroup="Table1" count="0">
      <extLst>
        <ext xmlns:x15="http://schemas.microsoft.com/office/spreadsheetml/2010/11/main" uri="{B97F6D7D-B522-45F9-BDA1-12C45D357490}">
          <x15:cacheHierarchy aggregatedColumn="2"/>
        </ext>
      </extLst>
    </cacheHierarchy>
    <cacheHierarchy uniqueName="[Measures].[Distinct Count of Glucose]" caption="Distinct Count of Glucose" measure="1" displayFolder="" measureGroup="Table1" count="0">
      <extLst>
        <ext xmlns:x15="http://schemas.microsoft.com/office/spreadsheetml/2010/11/main" uri="{B97F6D7D-B522-45F9-BDA1-12C45D357490}">
          <x15:cacheHierarchy aggregatedColumn="2"/>
        </ext>
      </extLst>
    </cacheHierarchy>
    <cacheHierarchy uniqueName="[Measures].[Average of Glucose]" caption="Average of Glucose" measure="1" displayFolder="" measureGroup="Table1" count="0">
      <extLst>
        <ext xmlns:x15="http://schemas.microsoft.com/office/spreadsheetml/2010/11/main" uri="{B97F6D7D-B522-45F9-BDA1-12C45D357490}">
          <x15:cacheHierarchy aggregatedColumn="2"/>
        </ext>
      </extLst>
    </cacheHierarchy>
    <cacheHierarchy uniqueName="[Measures].[Sum of Outcome]" caption="Sum of Outcome" measure="1" displayFolder="" measureGroup="Table1" count="0">
      <extLst>
        <ext xmlns:x15="http://schemas.microsoft.com/office/spreadsheetml/2010/11/main" uri="{B97F6D7D-B522-45F9-BDA1-12C45D357490}">
          <x15:cacheHierarchy aggregatedColumn="11"/>
        </ext>
      </extLst>
    </cacheHierarchy>
    <cacheHierarchy uniqueName="[Measures].[Count of Outcome]" caption="Count of Outcome" measure="1" displayFolder="" measureGroup="Table1" count="0">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extLst>
        <ext xmlns:x15="http://schemas.microsoft.com/office/spreadsheetml/2010/11/main" uri="{B97F6D7D-B522-45F9-BDA1-12C45D357490}">
          <x15:cacheHierarchy aggregatedColumn="9"/>
        </ext>
      </extLst>
    </cacheHierarchy>
    <cacheHierarchy uniqueName="[Measures].[Average of Outcome]" caption="Average of Outcome" measure="1" displayFolder="" measureGroup="Table1" count="0">
      <extLst>
        <ext xmlns:x15="http://schemas.microsoft.com/office/spreadsheetml/2010/11/main" uri="{B97F6D7D-B522-45F9-BDA1-12C45D357490}">
          <x15:cacheHierarchy aggregatedColumn="11"/>
        </ext>
      </extLst>
    </cacheHierarchy>
    <cacheHierarchy uniqueName="[Measures].[Sum of Pregnancies]" caption="Sum of Pregnancies" measure="1" displayFolder="" measureGroup="Table1" count="0">
      <extLst>
        <ext xmlns:x15="http://schemas.microsoft.com/office/spreadsheetml/2010/11/main" uri="{B97F6D7D-B522-45F9-BDA1-12C45D357490}">
          <x15:cacheHierarchy aggregatedColumn="0"/>
        </ext>
      </extLst>
    </cacheHierarchy>
    <cacheHierarchy uniqueName="[Measures].[Count of Pregnancies]" caption="Count of Pregnancies" measure="1" displayFolder="" measureGroup="Table1" count="0">
      <extLst>
        <ext xmlns:x15="http://schemas.microsoft.com/office/spreadsheetml/2010/11/main" uri="{B97F6D7D-B522-45F9-BDA1-12C45D357490}">
          <x15:cacheHierarchy aggregatedColumn="0"/>
        </ext>
      </extLst>
    </cacheHierarchy>
    <cacheHierarchy uniqueName="[Measures].[Count of BMI Category]" caption="Count of BMI Category" measure="1" displayFolder="" measureGroup="Table1" count="0">
      <extLst>
        <ext xmlns:x15="http://schemas.microsoft.com/office/spreadsheetml/2010/11/main" uri="{B97F6D7D-B522-45F9-BDA1-12C45D357490}">
          <x15:cacheHierarchy aggregatedColumn="6"/>
        </ext>
      </extLst>
    </cacheHierarchy>
    <cacheHierarchy uniqueName="[Measures].[Sum of BMI]" caption="Sum of BMI" measure="1" displayFolder="" measureGroup="Table1" count="0">
      <extLst>
        <ext xmlns:x15="http://schemas.microsoft.com/office/spreadsheetml/2010/11/main" uri="{B97F6D7D-B522-45F9-BDA1-12C45D357490}">
          <x15:cacheHierarchy aggregatedColumn="7"/>
        </ext>
      </extLst>
    </cacheHierarchy>
    <cacheHierarchy uniqueName="[Measures].[Count of BMI]" caption="Count of BMI" measure="1" displayFolder="" measureGroup="Table1" count="0">
      <extLst>
        <ext xmlns:x15="http://schemas.microsoft.com/office/spreadsheetml/2010/11/main" uri="{B97F6D7D-B522-45F9-BDA1-12C45D357490}">
          <x15:cacheHierarchy aggregatedColumn="7"/>
        </ext>
      </extLst>
    </cacheHierarchy>
    <cacheHierarchy uniqueName="[Measures].[Count of Glucose Category]" caption="Count of Glucose Category" measure="1" displayFolder="" measureGroup="Table1" count="0">
      <extLst>
        <ext xmlns:x15="http://schemas.microsoft.com/office/spreadsheetml/2010/11/main" uri="{B97F6D7D-B522-45F9-BDA1-12C45D357490}">
          <x15:cacheHierarchy aggregatedColumn="1"/>
        </ext>
      </extLst>
    </cacheHierarchy>
    <cacheHierarchy uniqueName="[Measures].[Avg Glucose Level]" caption="Avg Glucose Level" measure="1" displayFolder="" measureGroup="Table1" count="0" oneField="1">
      <fieldsUsage count="1">
        <fieldUsage x="11"/>
      </fieldsUsage>
    </cacheHierarchy>
    <cacheHierarchy uniqueName="[Measures].[Avg BMI]" caption="Avg BMI" measure="1" displayFolder="" measureGroup="Table1" count="0" oneField="1">
      <fieldsUsage count="1">
        <fieldUsage x="3"/>
      </fieldsUsage>
    </cacheHierarchy>
    <cacheHierarchy uniqueName="[Measures].[Avg Age]" caption="Avg Age" measure="1" displayFolder="" measureGroup="Table1" count="0" oneField="1">
      <fieldsUsage count="1">
        <fieldUsage x="4"/>
      </fieldsUsage>
    </cacheHierarchy>
    <cacheHierarchy uniqueName="[Measures].[Total Patients]" caption="Total Patients" measure="1" displayFolder="" measureGroup="Table1" count="0" oneField="1">
      <fieldsUsage count="1">
        <fieldUsage x="0"/>
      </fieldsUsage>
    </cacheHierarchy>
    <cacheHierarchy uniqueName="[Measures].[Total Diabetic Patients]" caption="Total Diabetic Patients" measure="1" displayFolder="" measureGroup="Table1" count="0" oneField="1">
      <fieldsUsage count="1">
        <fieldUsage x="1"/>
      </fieldsUsage>
    </cacheHierarchy>
    <cacheHierarchy uniqueName="[Measures].[Total Non-Diabetic Patients]" caption="Total Non-Diabetic Patients" measure="1" displayFolder="" measureGroup="Table1" count="0" oneField="1">
      <fieldsUsage count="1">
        <fieldUsage x="2"/>
      </fieldsUsage>
    </cacheHierarchy>
    <cacheHierarchy uniqueName="[Measures].[Diabetes Rate % ]" caption="Diabetes Rate % " measure="1" displayFolder="" measureGroup="Table1" count="0" oneField="1">
      <fieldsUsage count="1">
        <fieldUsage x="5"/>
      </fieldsUsage>
    </cacheHierarchy>
    <cacheHierarchy uniqueName="[Measures].[High Glucose Patients (&gt;140)]" caption="High Glucose Patients (&gt;140)" measure="1" displayFolder="" measureGroup="Table1" count="0" oneField="1">
      <fieldsUsage count="1">
        <fieldUsage x="12"/>
      </fieldsUsage>
    </cacheHierarchy>
    <cacheHierarchy uniqueName="[Measures].[Obese Patients (BMI ≥ 30)]" caption="Obese Patients (BMI ≥ 30)" measure="1" displayFolder="" measureGroup="Table1" count="0" oneField="1">
      <fieldsUsage count="1">
        <fieldUsage x="6"/>
      </fieldsUsage>
    </cacheHierarchy>
    <cacheHierarchy uniqueName="[Measures].[Avg Pregnancies]" caption="Avg Pregnancies" measure="1" displayFolder="" measureGroup="Table1" count="0" oneField="1">
      <fieldsUsage count="1">
        <fieldUsage x="7"/>
      </fieldsUsage>
    </cacheHierarchy>
    <cacheHierarchy uniqueName="[Measures].[Pregnant Patients]" caption="Pregnant Patients" measure="1" displayFolder="" measureGroup="Table1" count="0"/>
    <cacheHierarchy uniqueName="[Measures].[Non-Pregnant Patients]" caption="Non-Pregnant Patients" measure="1" displayFolder="" measureGroup="Table1" count="0"/>
    <cacheHierarchy uniqueName="[Measures].[TotalPregnantPatients]" caption="TotalPregnantPatients" measure="1" displayFolder="" measureGroup="Table1" count="0"/>
    <cacheHierarchy uniqueName="[Measures].[Pregnant Diabetic Patients]" caption="Pregnant Diabetic Patients" measure="1" displayFolder="" measureGroup="Table1" count="0"/>
    <cacheHierarchy uniqueName="[Measures].[Pregnant Non-Diabetic Patients]" caption="Pregnant Non-Diabetic Patients" measure="1" displayFolder="" measureGroup="Table1" count="0"/>
    <cacheHierarchy uniqueName="[Measures].[Young Patients (&lt;30)]" caption="Young Patients (&lt;30)" measure="1" displayFolder="" measureGroup="Table1" count="0" oneField="1">
      <fieldsUsage count="1">
        <fieldUsage x="8"/>
      </fieldsUsage>
    </cacheHierarchy>
    <cacheHierarchy uniqueName="[Measures].[Middle Age Patients(30–50)]" caption="Middle Age Patients(30–50)" measure="1" displayFolder="" measureGroup="Table1" count="0" oneField="1">
      <fieldsUsage count="1">
        <fieldUsage x="13"/>
      </fieldsUsage>
    </cacheHierarchy>
    <cacheHierarchy uniqueName="[Measures].[Older Patients (&gt;50)]" caption="Older Patients (&gt;50)" measure="1" displayFolder="" measureGroup="Table1" count="0" oneField="1">
      <fieldsUsage count="1">
        <fieldUsage x="9"/>
      </fieldsUsage>
    </cacheHierarchy>
    <cacheHierarchy uniqueName="[Measures].[Obese Diabetic]" caption="Obese Diabetic" measure="1" displayFolder="" measureGroup="Table1" count="0" oneField="1">
      <fieldsUsage count="1">
        <fieldUsage x="10"/>
      </fieldsUsage>
    </cacheHierarchy>
    <cacheHierarchy uniqueName="[Measures].[Avg Glucose]" caption="Avg Glucose" measure="1" displayFolder="" measureGroup="Table1" count="0"/>
    <cacheHierarchy uniqueName="[Measures].[Avg Blood Pressure]" caption="Avg Blood Pressure" measure="1" displayFolder="" measureGroup="Table1" count="0"/>
    <cacheHierarchy uniqueName="[Measures].[Avg Insulin]" caption="Avg Insul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189.920246527778" createdVersion="8" refreshedVersion="8" minRefreshableVersion="3" recordCount="0" supportSubquery="1" supportAdvancedDrill="1" xr:uid="{C2FE21D0-E740-47E4-953E-1E2E590332F5}">
  <cacheSource type="external" connectionId="1"/>
  <cacheFields count="2">
    <cacheField name="[Table1].[Age Group].[Age Group]" caption="Age Group" numFmtId="0" hierarchy="9" level="1">
      <sharedItems count="3">
        <s v="Middle Age (30-50)"/>
        <s v="Older (&gt;50)"/>
        <s v="Young (&lt;30)"/>
      </sharedItems>
    </cacheField>
    <cacheField name="[Measures].[Count of Glucose]" caption="Count of Glucose" numFmtId="0" hierarchy="15" level="32767"/>
  </cacheFields>
  <cacheHierarchies count="52">
    <cacheHierarchy uniqueName="[Table1].[Pregnancies]" caption="Pregnancies" attribute="1" defaultMemberUniqueName="[Table1].[Pregnancies].[All]" allUniqueName="[Table1].[Pregnancies].[All]" dimensionUniqueName="[Table1]" displayFolder="" count="0" memberValueDatatype="20" unbalanced="0"/>
    <cacheHierarchy uniqueName="[Table1].[Glucose Category]" caption="Glucose Category" attribute="1" defaultMemberUniqueName="[Table1].[Glucose Category].[All]" allUniqueName="[Table1].[Glucose Category].[All]" dimensionUniqueName="[Table1]" displayFolder="" count="2" memberValueDatatype="130" unbalanced="0"/>
    <cacheHierarchy uniqueName="[Table1].[Glucose]" caption="Glucose" attribute="1" defaultMemberUniqueName="[Table1].[Glucose].[All]" allUniqueName="[Table1].[Glucose].[All]" dimensionUniqueName="[Table1]" displayFolder="" count="0" memberValueDatatype="20" unbalanced="0"/>
    <cacheHierarchy uniqueName="[Table1].[BloodPressure]" caption="BloodPressure" attribute="1" defaultMemberUniqueName="[Table1].[BloodPressure].[All]" allUniqueName="[Table1].[BloodPressure].[All]" dimensionUniqueName="[Table1]" displayFolder="" count="0" memberValueDatatype="20" unbalanced="0"/>
    <cacheHierarchy uniqueName="[Table1].[SkinThickness]" caption="SkinThickness" attribute="1" defaultMemberUniqueName="[Table1].[SkinThickness].[All]" allUniqueName="[Table1].[SkinThickness].[All]" dimensionUniqueName="[Table1]" displayFolder="" count="0" memberValueDatatype="20" unbalanced="0"/>
    <cacheHierarchy uniqueName="[Table1].[Insulin]" caption="Insulin" attribute="1" defaultMemberUniqueName="[Table1].[Insulin].[All]" allUniqueName="[Table1].[Insulin].[All]" dimensionUniqueName="[Table1]" displayFolder="" count="0" memberValueDatatype="20" unbalanced="0"/>
    <cacheHierarchy uniqueName="[Table1].[BMI Category]" caption="BMI Category" attribute="1" defaultMemberUniqueName="[Table1].[BMI Category].[All]" allUniqueName="[Table1].[BMI Category].[All]" dimensionUniqueName="[Table1]" displayFolder="" count="2" memberValueDatatype="130" unbalanced="0"/>
    <cacheHierarchy uniqueName="[Table1].[BMI]" caption="BMI" attribute="1" defaultMemberUniqueName="[Table1].[BMI].[All]" allUniqueName="[Table1].[BMI].[All]" dimensionUniqueName="[Table1]" displayFolder="" count="0" memberValueDatatype="5" unbalanced="0"/>
    <cacheHierarchy uniqueName="[Table1].[DiabetesPedigreeFunction]" caption="DiabetesPedigreeFunction" attribute="1" defaultMemberUniqueName="[Table1].[DiabetesPedigreeFunction].[All]" allUniqueName="[Table1].[DiabetesPedigreeFunction].[All]" dimensionUniqueName="[Table1]" displayFolder="" count="0" memberValueDatatype="5"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Outcome]" caption="Outcome" attribute="1" defaultMemberUniqueName="[Table1].[Outcome].[All]" allUniqueName="[Table1].[Outcome].[All]" dimensionUniqueName="[Table1]" displayFolder="" count="0" memberValueDatatype="20" unbalanced="0"/>
    <cacheHierarchy uniqueName="[Measures].[Sum of Glucose]" caption="Sum of Glucose" measure="1" displayFolder="" measureGroup="Table1" count="0">
      <extLst>
        <ext xmlns:x15="http://schemas.microsoft.com/office/spreadsheetml/2010/11/main" uri="{B97F6D7D-B522-45F9-BDA1-12C45D357490}">
          <x15:cacheHierarchy aggregatedColumn="2"/>
        </ext>
      </extLst>
    </cacheHierarchy>
    <cacheHierarchy uniqueName="[Measures].[Min of Glucose]" caption="Min of Glucose" measure="1" displayFolder="" measureGroup="Table1" count="0">
      <extLst>
        <ext xmlns:x15="http://schemas.microsoft.com/office/spreadsheetml/2010/11/main" uri="{B97F6D7D-B522-45F9-BDA1-12C45D357490}">
          <x15:cacheHierarchy aggregatedColumn="2"/>
        </ext>
      </extLst>
    </cacheHierarchy>
    <cacheHierarchy uniqueName="[Measures].[Max of Glucose]" caption="Max of Glucose" measure="1" displayFolder="" measureGroup="Table1" count="0">
      <extLst>
        <ext xmlns:x15="http://schemas.microsoft.com/office/spreadsheetml/2010/11/main" uri="{B97F6D7D-B522-45F9-BDA1-12C45D357490}">
          <x15:cacheHierarchy aggregatedColumn="2"/>
        </ext>
      </extLst>
    </cacheHierarchy>
    <cacheHierarchy uniqueName="[Measures].[Count of Glucose]" caption="Count of Glucose" measure="1" displayFolder="" measureGroup="Table1" count="0" oneField="1">
      <fieldsUsage count="1">
        <fieldUsage x="1"/>
      </fieldsUsage>
      <extLst>
        <ext xmlns:x15="http://schemas.microsoft.com/office/spreadsheetml/2010/11/main" uri="{B97F6D7D-B522-45F9-BDA1-12C45D357490}">
          <x15:cacheHierarchy aggregatedColumn="2"/>
        </ext>
      </extLst>
    </cacheHierarchy>
    <cacheHierarchy uniqueName="[Measures].[Distinct Count of Glucose]" caption="Distinct Count of Glucose" measure="1" displayFolder="" measureGroup="Table1" count="0">
      <extLst>
        <ext xmlns:x15="http://schemas.microsoft.com/office/spreadsheetml/2010/11/main" uri="{B97F6D7D-B522-45F9-BDA1-12C45D357490}">
          <x15:cacheHierarchy aggregatedColumn="2"/>
        </ext>
      </extLst>
    </cacheHierarchy>
    <cacheHierarchy uniqueName="[Measures].[Average of Glucose]" caption="Average of Glucose" measure="1" displayFolder="" measureGroup="Table1" count="0">
      <extLst>
        <ext xmlns:x15="http://schemas.microsoft.com/office/spreadsheetml/2010/11/main" uri="{B97F6D7D-B522-45F9-BDA1-12C45D357490}">
          <x15:cacheHierarchy aggregatedColumn="2"/>
        </ext>
      </extLst>
    </cacheHierarchy>
    <cacheHierarchy uniqueName="[Measures].[Sum of Outcome]" caption="Sum of Outcome" measure="1" displayFolder="" measureGroup="Table1" count="0">
      <extLst>
        <ext xmlns:x15="http://schemas.microsoft.com/office/spreadsheetml/2010/11/main" uri="{B97F6D7D-B522-45F9-BDA1-12C45D357490}">
          <x15:cacheHierarchy aggregatedColumn="11"/>
        </ext>
      </extLst>
    </cacheHierarchy>
    <cacheHierarchy uniqueName="[Measures].[Count of Outcome]" caption="Count of Outcome" measure="1" displayFolder="" measureGroup="Table1" count="0">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extLst>
        <ext xmlns:x15="http://schemas.microsoft.com/office/spreadsheetml/2010/11/main" uri="{B97F6D7D-B522-45F9-BDA1-12C45D357490}">
          <x15:cacheHierarchy aggregatedColumn="9"/>
        </ext>
      </extLst>
    </cacheHierarchy>
    <cacheHierarchy uniqueName="[Measures].[Average of Outcome]" caption="Average of Outcome" measure="1" displayFolder="" measureGroup="Table1" count="0">
      <extLst>
        <ext xmlns:x15="http://schemas.microsoft.com/office/spreadsheetml/2010/11/main" uri="{B97F6D7D-B522-45F9-BDA1-12C45D357490}">
          <x15:cacheHierarchy aggregatedColumn="11"/>
        </ext>
      </extLst>
    </cacheHierarchy>
    <cacheHierarchy uniqueName="[Measures].[Sum of Pregnancies]" caption="Sum of Pregnancies" measure="1" displayFolder="" measureGroup="Table1" count="0">
      <extLst>
        <ext xmlns:x15="http://schemas.microsoft.com/office/spreadsheetml/2010/11/main" uri="{B97F6D7D-B522-45F9-BDA1-12C45D357490}">
          <x15:cacheHierarchy aggregatedColumn="0"/>
        </ext>
      </extLst>
    </cacheHierarchy>
    <cacheHierarchy uniqueName="[Measures].[Count of Pregnancies]" caption="Count of Pregnancies" measure="1" displayFolder="" measureGroup="Table1" count="0">
      <extLst>
        <ext xmlns:x15="http://schemas.microsoft.com/office/spreadsheetml/2010/11/main" uri="{B97F6D7D-B522-45F9-BDA1-12C45D357490}">
          <x15:cacheHierarchy aggregatedColumn="0"/>
        </ext>
      </extLst>
    </cacheHierarchy>
    <cacheHierarchy uniqueName="[Measures].[Count of BMI Category]" caption="Count of BMI Category" measure="1" displayFolder="" measureGroup="Table1" count="0">
      <extLst>
        <ext xmlns:x15="http://schemas.microsoft.com/office/spreadsheetml/2010/11/main" uri="{B97F6D7D-B522-45F9-BDA1-12C45D357490}">
          <x15:cacheHierarchy aggregatedColumn="6"/>
        </ext>
      </extLst>
    </cacheHierarchy>
    <cacheHierarchy uniqueName="[Measures].[Sum of BMI]" caption="Sum of BMI" measure="1" displayFolder="" measureGroup="Table1" count="0">
      <extLst>
        <ext xmlns:x15="http://schemas.microsoft.com/office/spreadsheetml/2010/11/main" uri="{B97F6D7D-B522-45F9-BDA1-12C45D357490}">
          <x15:cacheHierarchy aggregatedColumn="7"/>
        </ext>
      </extLst>
    </cacheHierarchy>
    <cacheHierarchy uniqueName="[Measures].[Count of BMI]" caption="Count of BMI" measure="1" displayFolder="" measureGroup="Table1" count="0">
      <extLst>
        <ext xmlns:x15="http://schemas.microsoft.com/office/spreadsheetml/2010/11/main" uri="{B97F6D7D-B522-45F9-BDA1-12C45D357490}">
          <x15:cacheHierarchy aggregatedColumn="7"/>
        </ext>
      </extLst>
    </cacheHierarchy>
    <cacheHierarchy uniqueName="[Measures].[Count of Glucose Category]" caption="Count of Glucose Category" measure="1" displayFolder="" measureGroup="Table1" count="0">
      <extLst>
        <ext xmlns:x15="http://schemas.microsoft.com/office/spreadsheetml/2010/11/main" uri="{B97F6D7D-B522-45F9-BDA1-12C45D357490}">
          <x15:cacheHierarchy aggregatedColumn="1"/>
        </ext>
      </extLst>
    </cacheHierarchy>
    <cacheHierarchy uniqueName="[Measures].[Avg Glucose Level]" caption="Avg Glucose Level" measure="1" displayFolder="" measureGroup="Table1" count="0"/>
    <cacheHierarchy uniqueName="[Measures].[Avg BMI]" caption="Avg BMI" measure="1" displayFolder="" measureGroup="Table1" count="0"/>
    <cacheHierarchy uniqueName="[Measures].[Avg Age]" caption="Avg Age" measure="1" displayFolder="" measureGroup="Table1" count="0"/>
    <cacheHierarchy uniqueName="[Measures].[Total Patients]" caption="Total Patients" measure="1" displayFolder="" measureGroup="Table1" count="0"/>
    <cacheHierarchy uniqueName="[Measures].[Total Diabetic Patients]" caption="Total Diabetic Patients" measure="1" displayFolder="" measureGroup="Table1" count="0"/>
    <cacheHierarchy uniqueName="[Measures].[Total Non-Diabetic Patients]" caption="Total Non-Diabetic Patients" measure="1" displayFolder="" measureGroup="Table1" count="0"/>
    <cacheHierarchy uniqueName="[Measures].[Diabetes Rate % ]" caption="Diabetes Rate % " measure="1" displayFolder="" measureGroup="Table1" count="0"/>
    <cacheHierarchy uniqueName="[Measures].[High Glucose Patients (&gt;140)]" caption="High Glucose Patients (&gt;140)" measure="1" displayFolder="" measureGroup="Table1" count="0"/>
    <cacheHierarchy uniqueName="[Measures].[Obese Patients (BMI ≥ 30)]" caption="Obese Patients (BMI ≥ 30)" measure="1" displayFolder="" measureGroup="Table1" count="0"/>
    <cacheHierarchy uniqueName="[Measures].[Avg Pregnancies]" caption="Avg Pregnancies" measure="1" displayFolder="" measureGroup="Table1" count="0"/>
    <cacheHierarchy uniqueName="[Measures].[Pregnant Patients]" caption="Pregnant Patients" measure="1" displayFolder="" measureGroup="Table1" count="0"/>
    <cacheHierarchy uniqueName="[Measures].[Non-Pregnant Patients]" caption="Non-Pregnant Patients" measure="1" displayFolder="" measureGroup="Table1" count="0"/>
    <cacheHierarchy uniqueName="[Measures].[TotalPregnantPatients]" caption="TotalPregnantPatients" measure="1" displayFolder="" measureGroup="Table1" count="0"/>
    <cacheHierarchy uniqueName="[Measures].[Pregnant Diabetic Patients]" caption="Pregnant Diabetic Patients" measure="1" displayFolder="" measureGroup="Table1" count="0"/>
    <cacheHierarchy uniqueName="[Measures].[Pregnant Non-Diabetic Patients]" caption="Pregnant Non-Diabetic Patients" measure="1" displayFolder="" measureGroup="Table1" count="0"/>
    <cacheHierarchy uniqueName="[Measures].[Young Patients (&lt;30)]" caption="Young Patients (&lt;30)" measure="1" displayFolder="" measureGroup="Table1" count="0"/>
    <cacheHierarchy uniqueName="[Measures].[Middle Age Patients(30–50)]" caption="Middle Age Patients(30–50)" measure="1" displayFolder="" measureGroup="Table1" count="0"/>
    <cacheHierarchy uniqueName="[Measures].[Older Patients (&gt;50)]" caption="Older Patients (&gt;50)" measure="1" displayFolder="" measureGroup="Table1" count="0"/>
    <cacheHierarchy uniqueName="[Measures].[Obese Diabetic]" caption="Obese Diabetic" measure="1" displayFolder="" measureGroup="Table1" count="0"/>
    <cacheHierarchy uniqueName="[Measures].[Avg Glucose]" caption="Avg Glucose" measure="1" displayFolder="" measureGroup="Table1" count="0"/>
    <cacheHierarchy uniqueName="[Measures].[Avg Blood Pressure]" caption="Avg Blood Pressure" measure="1" displayFolder="" measureGroup="Table1" count="0"/>
    <cacheHierarchy uniqueName="[Measures].[Avg Insulin]" caption="Avg Insul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189.920247106478" createdVersion="8" refreshedVersion="8" minRefreshableVersion="3" recordCount="0" supportSubquery="1" supportAdvancedDrill="1" xr:uid="{6AF075AB-9540-418B-A5D5-23FC59707AEF}">
  <cacheSource type="external" connectionId="1"/>
  <cacheFields count="3">
    <cacheField name="[Measures].[High Glucose Patients (&gt;140)]" caption="High Glucose Patients (&gt;140)" numFmtId="0" hierarchy="35" level="32767"/>
    <cacheField name="[Measures].[Obese Patients (BMI ≥ 30)]" caption="Obese Patients (BMI ≥ 30)" numFmtId="0" hierarchy="36" level="32767"/>
    <cacheField name="[Table1].[Age Group].[Age Group]" caption="Age Group" numFmtId="0" hierarchy="9" level="1">
      <sharedItems containsSemiMixedTypes="0" containsNonDate="0" containsString="0"/>
    </cacheField>
  </cacheFields>
  <cacheHierarchies count="52">
    <cacheHierarchy uniqueName="[Table1].[Pregnancies]" caption="Pregnancies" attribute="1" defaultMemberUniqueName="[Table1].[Pregnancies].[All]" allUniqueName="[Table1].[Pregnancies].[All]" dimensionUniqueName="[Table1]" displayFolder="" count="0" memberValueDatatype="20" unbalanced="0"/>
    <cacheHierarchy uniqueName="[Table1].[Glucose Category]" caption="Glucose Category" attribute="1" defaultMemberUniqueName="[Table1].[Glucose Category].[All]" allUniqueName="[Table1].[Glucose Category].[All]" dimensionUniqueName="[Table1]" displayFolder="" count="2" memberValueDatatype="130" unbalanced="0"/>
    <cacheHierarchy uniqueName="[Table1].[Glucose]" caption="Glucose" attribute="1" defaultMemberUniqueName="[Table1].[Glucose].[All]" allUniqueName="[Table1].[Glucose].[All]" dimensionUniqueName="[Table1]" displayFolder="" count="0" memberValueDatatype="20" unbalanced="0"/>
    <cacheHierarchy uniqueName="[Table1].[BloodPressure]" caption="BloodPressure" attribute="1" defaultMemberUniqueName="[Table1].[BloodPressure].[All]" allUniqueName="[Table1].[BloodPressure].[All]" dimensionUniqueName="[Table1]" displayFolder="" count="0" memberValueDatatype="20" unbalanced="0"/>
    <cacheHierarchy uniqueName="[Table1].[SkinThickness]" caption="SkinThickness" attribute="1" defaultMemberUniqueName="[Table1].[SkinThickness].[All]" allUniqueName="[Table1].[SkinThickness].[All]" dimensionUniqueName="[Table1]" displayFolder="" count="0" memberValueDatatype="20" unbalanced="0"/>
    <cacheHierarchy uniqueName="[Table1].[Insulin]" caption="Insulin" attribute="1" defaultMemberUniqueName="[Table1].[Insulin].[All]" allUniqueName="[Table1].[Insulin].[All]" dimensionUniqueName="[Table1]" displayFolder="" count="0" memberValueDatatype="20" unbalanced="0"/>
    <cacheHierarchy uniqueName="[Table1].[BMI Category]" caption="BMI Category" attribute="1" defaultMemberUniqueName="[Table1].[BMI Category].[All]" allUniqueName="[Table1].[BMI Category].[All]" dimensionUniqueName="[Table1]" displayFolder="" count="2" memberValueDatatype="130" unbalanced="0"/>
    <cacheHierarchy uniqueName="[Table1].[BMI]" caption="BMI" attribute="1" defaultMemberUniqueName="[Table1].[BMI].[All]" allUniqueName="[Table1].[BMI].[All]" dimensionUniqueName="[Table1]" displayFolder="" count="0" memberValueDatatype="5" unbalanced="0"/>
    <cacheHierarchy uniqueName="[Table1].[DiabetesPedigreeFunction]" caption="DiabetesPedigreeFunction" attribute="1" defaultMemberUniqueName="[Table1].[DiabetesPedigreeFunction].[All]" allUniqueName="[Table1].[DiabetesPedigreeFunction].[All]" dimensionUniqueName="[Table1]" displayFolder="" count="0" memberValueDatatype="5"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Outcome]" caption="Outcome" attribute="1" defaultMemberUniqueName="[Table1].[Outcome].[All]" allUniqueName="[Table1].[Outcome].[All]" dimensionUniqueName="[Table1]" displayFolder="" count="0" memberValueDatatype="20" unbalanced="0"/>
    <cacheHierarchy uniqueName="[Measures].[Sum of Glucose]" caption="Sum of Glucose" measure="1" displayFolder="" measureGroup="Table1" count="0">
      <extLst>
        <ext xmlns:x15="http://schemas.microsoft.com/office/spreadsheetml/2010/11/main" uri="{B97F6D7D-B522-45F9-BDA1-12C45D357490}">
          <x15:cacheHierarchy aggregatedColumn="2"/>
        </ext>
      </extLst>
    </cacheHierarchy>
    <cacheHierarchy uniqueName="[Measures].[Min of Glucose]" caption="Min of Glucose" measure="1" displayFolder="" measureGroup="Table1" count="0">
      <extLst>
        <ext xmlns:x15="http://schemas.microsoft.com/office/spreadsheetml/2010/11/main" uri="{B97F6D7D-B522-45F9-BDA1-12C45D357490}">
          <x15:cacheHierarchy aggregatedColumn="2"/>
        </ext>
      </extLst>
    </cacheHierarchy>
    <cacheHierarchy uniqueName="[Measures].[Max of Glucose]" caption="Max of Glucose" measure="1" displayFolder="" measureGroup="Table1" count="0">
      <extLst>
        <ext xmlns:x15="http://schemas.microsoft.com/office/spreadsheetml/2010/11/main" uri="{B97F6D7D-B522-45F9-BDA1-12C45D357490}">
          <x15:cacheHierarchy aggregatedColumn="2"/>
        </ext>
      </extLst>
    </cacheHierarchy>
    <cacheHierarchy uniqueName="[Measures].[Count of Glucose]" caption="Count of Glucose" measure="1" displayFolder="" measureGroup="Table1" count="0">
      <extLst>
        <ext xmlns:x15="http://schemas.microsoft.com/office/spreadsheetml/2010/11/main" uri="{B97F6D7D-B522-45F9-BDA1-12C45D357490}">
          <x15:cacheHierarchy aggregatedColumn="2"/>
        </ext>
      </extLst>
    </cacheHierarchy>
    <cacheHierarchy uniqueName="[Measures].[Distinct Count of Glucose]" caption="Distinct Count of Glucose" measure="1" displayFolder="" measureGroup="Table1" count="0">
      <extLst>
        <ext xmlns:x15="http://schemas.microsoft.com/office/spreadsheetml/2010/11/main" uri="{B97F6D7D-B522-45F9-BDA1-12C45D357490}">
          <x15:cacheHierarchy aggregatedColumn="2"/>
        </ext>
      </extLst>
    </cacheHierarchy>
    <cacheHierarchy uniqueName="[Measures].[Average of Glucose]" caption="Average of Glucose" measure="1" displayFolder="" measureGroup="Table1" count="0">
      <extLst>
        <ext xmlns:x15="http://schemas.microsoft.com/office/spreadsheetml/2010/11/main" uri="{B97F6D7D-B522-45F9-BDA1-12C45D357490}">
          <x15:cacheHierarchy aggregatedColumn="2"/>
        </ext>
      </extLst>
    </cacheHierarchy>
    <cacheHierarchy uniqueName="[Measures].[Sum of Outcome]" caption="Sum of Outcome" measure="1" displayFolder="" measureGroup="Table1" count="0">
      <extLst>
        <ext xmlns:x15="http://schemas.microsoft.com/office/spreadsheetml/2010/11/main" uri="{B97F6D7D-B522-45F9-BDA1-12C45D357490}">
          <x15:cacheHierarchy aggregatedColumn="11"/>
        </ext>
      </extLst>
    </cacheHierarchy>
    <cacheHierarchy uniqueName="[Measures].[Count of Outcome]" caption="Count of Outcome" measure="1" displayFolder="" measureGroup="Table1" count="0">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extLst>
        <ext xmlns:x15="http://schemas.microsoft.com/office/spreadsheetml/2010/11/main" uri="{B97F6D7D-B522-45F9-BDA1-12C45D357490}">
          <x15:cacheHierarchy aggregatedColumn="9"/>
        </ext>
      </extLst>
    </cacheHierarchy>
    <cacheHierarchy uniqueName="[Measures].[Average of Outcome]" caption="Average of Outcome" measure="1" displayFolder="" measureGroup="Table1" count="0">
      <extLst>
        <ext xmlns:x15="http://schemas.microsoft.com/office/spreadsheetml/2010/11/main" uri="{B97F6D7D-B522-45F9-BDA1-12C45D357490}">
          <x15:cacheHierarchy aggregatedColumn="11"/>
        </ext>
      </extLst>
    </cacheHierarchy>
    <cacheHierarchy uniqueName="[Measures].[Sum of Pregnancies]" caption="Sum of Pregnancies" measure="1" displayFolder="" measureGroup="Table1" count="0">
      <extLst>
        <ext xmlns:x15="http://schemas.microsoft.com/office/spreadsheetml/2010/11/main" uri="{B97F6D7D-B522-45F9-BDA1-12C45D357490}">
          <x15:cacheHierarchy aggregatedColumn="0"/>
        </ext>
      </extLst>
    </cacheHierarchy>
    <cacheHierarchy uniqueName="[Measures].[Count of Pregnancies]" caption="Count of Pregnancies" measure="1" displayFolder="" measureGroup="Table1" count="0">
      <extLst>
        <ext xmlns:x15="http://schemas.microsoft.com/office/spreadsheetml/2010/11/main" uri="{B97F6D7D-B522-45F9-BDA1-12C45D357490}">
          <x15:cacheHierarchy aggregatedColumn="0"/>
        </ext>
      </extLst>
    </cacheHierarchy>
    <cacheHierarchy uniqueName="[Measures].[Count of BMI Category]" caption="Count of BMI Category" measure="1" displayFolder="" measureGroup="Table1" count="0">
      <extLst>
        <ext xmlns:x15="http://schemas.microsoft.com/office/spreadsheetml/2010/11/main" uri="{B97F6D7D-B522-45F9-BDA1-12C45D357490}">
          <x15:cacheHierarchy aggregatedColumn="6"/>
        </ext>
      </extLst>
    </cacheHierarchy>
    <cacheHierarchy uniqueName="[Measures].[Sum of BMI]" caption="Sum of BMI" measure="1" displayFolder="" measureGroup="Table1" count="0">
      <extLst>
        <ext xmlns:x15="http://schemas.microsoft.com/office/spreadsheetml/2010/11/main" uri="{B97F6D7D-B522-45F9-BDA1-12C45D357490}">
          <x15:cacheHierarchy aggregatedColumn="7"/>
        </ext>
      </extLst>
    </cacheHierarchy>
    <cacheHierarchy uniqueName="[Measures].[Count of BMI]" caption="Count of BMI" measure="1" displayFolder="" measureGroup="Table1" count="0">
      <extLst>
        <ext xmlns:x15="http://schemas.microsoft.com/office/spreadsheetml/2010/11/main" uri="{B97F6D7D-B522-45F9-BDA1-12C45D357490}">
          <x15:cacheHierarchy aggregatedColumn="7"/>
        </ext>
      </extLst>
    </cacheHierarchy>
    <cacheHierarchy uniqueName="[Measures].[Count of Glucose Category]" caption="Count of Glucose Category" measure="1" displayFolder="" measureGroup="Table1" count="0">
      <extLst>
        <ext xmlns:x15="http://schemas.microsoft.com/office/spreadsheetml/2010/11/main" uri="{B97F6D7D-B522-45F9-BDA1-12C45D357490}">
          <x15:cacheHierarchy aggregatedColumn="1"/>
        </ext>
      </extLst>
    </cacheHierarchy>
    <cacheHierarchy uniqueName="[Measures].[Avg Glucose Level]" caption="Avg Glucose Level" measure="1" displayFolder="" measureGroup="Table1" count="0"/>
    <cacheHierarchy uniqueName="[Measures].[Avg BMI]" caption="Avg BMI" measure="1" displayFolder="" measureGroup="Table1" count="0"/>
    <cacheHierarchy uniqueName="[Measures].[Avg Age]" caption="Avg Age" measure="1" displayFolder="" measureGroup="Table1" count="0"/>
    <cacheHierarchy uniqueName="[Measures].[Total Patients]" caption="Total Patients" measure="1" displayFolder="" measureGroup="Table1" count="0"/>
    <cacheHierarchy uniqueName="[Measures].[Total Diabetic Patients]" caption="Total Diabetic Patients" measure="1" displayFolder="" measureGroup="Table1" count="0"/>
    <cacheHierarchy uniqueName="[Measures].[Total Non-Diabetic Patients]" caption="Total Non-Diabetic Patients" measure="1" displayFolder="" measureGroup="Table1" count="0"/>
    <cacheHierarchy uniqueName="[Measures].[Diabetes Rate % ]" caption="Diabetes Rate % " measure="1" displayFolder="" measureGroup="Table1" count="0"/>
    <cacheHierarchy uniqueName="[Measures].[High Glucose Patients (&gt;140)]" caption="High Glucose Patients (&gt;140)" measure="1" displayFolder="" measureGroup="Table1" count="0" oneField="1">
      <fieldsUsage count="1">
        <fieldUsage x="0"/>
      </fieldsUsage>
    </cacheHierarchy>
    <cacheHierarchy uniqueName="[Measures].[Obese Patients (BMI ≥ 30)]" caption="Obese Patients (BMI ≥ 30)" measure="1" displayFolder="" measureGroup="Table1" count="0" oneField="1">
      <fieldsUsage count="1">
        <fieldUsage x="1"/>
      </fieldsUsage>
    </cacheHierarchy>
    <cacheHierarchy uniqueName="[Measures].[Avg Pregnancies]" caption="Avg Pregnancies" measure="1" displayFolder="" measureGroup="Table1" count="0"/>
    <cacheHierarchy uniqueName="[Measures].[Pregnant Patients]" caption="Pregnant Patients" measure="1" displayFolder="" measureGroup="Table1" count="0"/>
    <cacheHierarchy uniqueName="[Measures].[Non-Pregnant Patients]" caption="Non-Pregnant Patients" measure="1" displayFolder="" measureGroup="Table1" count="0"/>
    <cacheHierarchy uniqueName="[Measures].[TotalPregnantPatients]" caption="TotalPregnantPatients" measure="1" displayFolder="" measureGroup="Table1" count="0"/>
    <cacheHierarchy uniqueName="[Measures].[Pregnant Diabetic Patients]" caption="Pregnant Diabetic Patients" measure="1" displayFolder="" measureGroup="Table1" count="0"/>
    <cacheHierarchy uniqueName="[Measures].[Pregnant Non-Diabetic Patients]" caption="Pregnant Non-Diabetic Patients" measure="1" displayFolder="" measureGroup="Table1" count="0"/>
    <cacheHierarchy uniqueName="[Measures].[Young Patients (&lt;30)]" caption="Young Patients (&lt;30)" measure="1" displayFolder="" measureGroup="Table1" count="0"/>
    <cacheHierarchy uniqueName="[Measures].[Middle Age Patients(30–50)]" caption="Middle Age Patients(30–50)" measure="1" displayFolder="" measureGroup="Table1" count="0"/>
    <cacheHierarchy uniqueName="[Measures].[Older Patients (&gt;50)]" caption="Older Patients (&gt;50)" measure="1" displayFolder="" measureGroup="Table1" count="0"/>
    <cacheHierarchy uniqueName="[Measures].[Obese Diabetic]" caption="Obese Diabetic" measure="1" displayFolder="" measureGroup="Table1" count="0"/>
    <cacheHierarchy uniqueName="[Measures].[Avg Glucose]" caption="Avg Glucose" measure="1" displayFolder="" measureGroup="Table1" count="0"/>
    <cacheHierarchy uniqueName="[Measures].[Avg Blood Pressure]" caption="Avg Blood Pressure" measure="1" displayFolder="" measureGroup="Table1" count="0"/>
    <cacheHierarchy uniqueName="[Measures].[Avg Insulin]" caption="Avg Insul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189.920248032409" createdVersion="5" refreshedVersion="8" minRefreshableVersion="3" recordCount="0" supportSubquery="1" supportAdvancedDrill="1" xr:uid="{866C9F86-B3BF-4216-AD81-2802FA1CE8E8}">
  <cacheSource type="external" connectionId="1"/>
  <cacheFields count="4">
    <cacheField name="[Table1].[Outcome].[Outcome]" caption="Outcome" numFmtId="0" hierarchy="1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Outcome].&amp;[0]"/>
            <x15:cachedUniqueName index="1" name="[Table1].[Outcome].&amp;[1]"/>
          </x15:cachedUniqueNames>
        </ext>
      </extLst>
    </cacheField>
    <cacheField name="[Measures].[Count of Glucose]" caption="Count of Glucose" numFmtId="0" hierarchy="15" level="32767"/>
    <cacheField name="[Measures].[Count of BMI]" caption="Count of BMI" numFmtId="0" hierarchy="26" level="32767"/>
    <cacheField name="[Table1].[Age Group].[Age Group]" caption="Age Group" numFmtId="0" hierarchy="9" level="1">
      <sharedItems containsSemiMixedTypes="0" containsNonDate="0" containsString="0"/>
    </cacheField>
  </cacheFields>
  <cacheHierarchies count="52">
    <cacheHierarchy uniqueName="[Table1].[Pregnancies]" caption="Pregnancies" attribute="1" defaultMemberUniqueName="[Table1].[Pregnancies].[All]" allUniqueName="[Table1].[Pregnancies].[All]" dimensionUniqueName="[Table1]" displayFolder="" count="0" memberValueDatatype="20" unbalanced="0"/>
    <cacheHierarchy uniqueName="[Table1].[Glucose Category]" caption="Glucose Category" attribute="1" defaultMemberUniqueName="[Table1].[Glucose Category].[All]" allUniqueName="[Table1].[Glucose Category].[All]" dimensionUniqueName="[Table1]" displayFolder="" count="2" memberValueDatatype="130" unbalanced="0"/>
    <cacheHierarchy uniqueName="[Table1].[Glucose]" caption="Glucose" attribute="1" defaultMemberUniqueName="[Table1].[Glucose].[All]" allUniqueName="[Table1].[Glucose].[All]" dimensionUniqueName="[Table1]" displayFolder="" count="0" memberValueDatatype="20" unbalanced="0"/>
    <cacheHierarchy uniqueName="[Table1].[BloodPressure]" caption="BloodPressure" attribute="1" defaultMemberUniqueName="[Table1].[BloodPressure].[All]" allUniqueName="[Table1].[BloodPressure].[All]" dimensionUniqueName="[Table1]" displayFolder="" count="0" memberValueDatatype="20" unbalanced="0"/>
    <cacheHierarchy uniqueName="[Table1].[SkinThickness]" caption="SkinThickness" attribute="1" defaultMemberUniqueName="[Table1].[SkinThickness].[All]" allUniqueName="[Table1].[SkinThickness].[All]" dimensionUniqueName="[Table1]" displayFolder="" count="0" memberValueDatatype="20" unbalanced="0"/>
    <cacheHierarchy uniqueName="[Table1].[Insulin]" caption="Insulin" attribute="1" defaultMemberUniqueName="[Table1].[Insulin].[All]" allUniqueName="[Table1].[Insulin].[All]" dimensionUniqueName="[Table1]" displayFolder="" count="0" memberValueDatatype="20" unbalanced="0"/>
    <cacheHierarchy uniqueName="[Table1].[BMI Category]" caption="BMI Category" attribute="1" defaultMemberUniqueName="[Table1].[BMI Category].[All]" allUniqueName="[Table1].[BMI Category].[All]" dimensionUniqueName="[Table1]" displayFolder="" count="2" memberValueDatatype="130" unbalanced="0"/>
    <cacheHierarchy uniqueName="[Table1].[BMI]" caption="BMI" attribute="1" defaultMemberUniqueName="[Table1].[BMI].[All]" allUniqueName="[Table1].[BMI].[All]" dimensionUniqueName="[Table1]" displayFolder="" count="0" memberValueDatatype="5" unbalanced="0"/>
    <cacheHierarchy uniqueName="[Table1].[DiabetesPedigreeFunction]" caption="DiabetesPedigreeFunction" attribute="1" defaultMemberUniqueName="[Table1].[DiabetesPedigreeFunction].[All]" allUniqueName="[Table1].[DiabetesPedigreeFunction].[All]" dimensionUniqueName="[Table1]" displayFolder="" count="0" memberValueDatatype="5"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3"/>
      </fieldsUsage>
    </cacheHierarchy>
    <cacheHierarchy uniqueName="[Table1].[Age]" caption="Age" attribute="1" defaultMemberUniqueName="[Table1].[Age].[All]" allUniqueName="[Table1].[Age].[All]" dimensionUniqueName="[Table1]" displayFolder="" count="0" memberValueDatatype="20" unbalanced="0"/>
    <cacheHierarchy uniqueName="[Table1].[Outcome]" caption="Outcome" attribute="1" defaultMemberUniqueName="[Table1].[Outcome].[All]" allUniqueName="[Table1].[Outcome].[All]" dimensionUniqueName="[Table1]" displayFolder="" count="2" memberValueDatatype="20" unbalanced="0">
      <fieldsUsage count="2">
        <fieldUsage x="-1"/>
        <fieldUsage x="0"/>
      </fieldsUsage>
    </cacheHierarchy>
    <cacheHierarchy uniqueName="[Measures].[Sum of Glucose]" caption="Sum of Glucose" measure="1" displayFolder="" measureGroup="Table1" count="0">
      <extLst>
        <ext xmlns:x15="http://schemas.microsoft.com/office/spreadsheetml/2010/11/main" uri="{B97F6D7D-B522-45F9-BDA1-12C45D357490}">
          <x15:cacheHierarchy aggregatedColumn="2"/>
        </ext>
      </extLst>
    </cacheHierarchy>
    <cacheHierarchy uniqueName="[Measures].[Min of Glucose]" caption="Min of Glucose" measure="1" displayFolder="" measureGroup="Table1" count="0">
      <extLst>
        <ext xmlns:x15="http://schemas.microsoft.com/office/spreadsheetml/2010/11/main" uri="{B97F6D7D-B522-45F9-BDA1-12C45D357490}">
          <x15:cacheHierarchy aggregatedColumn="2"/>
        </ext>
      </extLst>
    </cacheHierarchy>
    <cacheHierarchy uniqueName="[Measures].[Max of Glucose]" caption="Max of Glucose" measure="1" displayFolder="" measureGroup="Table1" count="0">
      <extLst>
        <ext xmlns:x15="http://schemas.microsoft.com/office/spreadsheetml/2010/11/main" uri="{B97F6D7D-B522-45F9-BDA1-12C45D357490}">
          <x15:cacheHierarchy aggregatedColumn="2"/>
        </ext>
      </extLst>
    </cacheHierarchy>
    <cacheHierarchy uniqueName="[Measures].[Count of Glucose]" caption="Count of Glucose" measure="1" displayFolder="" measureGroup="Table1" count="0" oneField="1">
      <fieldsUsage count="1">
        <fieldUsage x="1"/>
      </fieldsUsage>
      <extLst>
        <ext xmlns:x15="http://schemas.microsoft.com/office/spreadsheetml/2010/11/main" uri="{B97F6D7D-B522-45F9-BDA1-12C45D357490}">
          <x15:cacheHierarchy aggregatedColumn="2"/>
        </ext>
      </extLst>
    </cacheHierarchy>
    <cacheHierarchy uniqueName="[Measures].[Distinct Count of Glucose]" caption="Distinct Count of Glucose" measure="1" displayFolder="" measureGroup="Table1" count="0">
      <extLst>
        <ext xmlns:x15="http://schemas.microsoft.com/office/spreadsheetml/2010/11/main" uri="{B97F6D7D-B522-45F9-BDA1-12C45D357490}">
          <x15:cacheHierarchy aggregatedColumn="2"/>
        </ext>
      </extLst>
    </cacheHierarchy>
    <cacheHierarchy uniqueName="[Measures].[Average of Glucose]" caption="Average of Glucose" measure="1" displayFolder="" measureGroup="Table1" count="0">
      <extLst>
        <ext xmlns:x15="http://schemas.microsoft.com/office/spreadsheetml/2010/11/main" uri="{B97F6D7D-B522-45F9-BDA1-12C45D357490}">
          <x15:cacheHierarchy aggregatedColumn="2"/>
        </ext>
      </extLst>
    </cacheHierarchy>
    <cacheHierarchy uniqueName="[Measures].[Sum of Outcome]" caption="Sum of Outcome" measure="1" displayFolder="" measureGroup="Table1" count="0">
      <extLst>
        <ext xmlns:x15="http://schemas.microsoft.com/office/spreadsheetml/2010/11/main" uri="{B97F6D7D-B522-45F9-BDA1-12C45D357490}">
          <x15:cacheHierarchy aggregatedColumn="11"/>
        </ext>
      </extLst>
    </cacheHierarchy>
    <cacheHierarchy uniqueName="[Measures].[Count of Outcome]" caption="Count of Outcome" measure="1" displayFolder="" measureGroup="Table1" count="0">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extLst>
        <ext xmlns:x15="http://schemas.microsoft.com/office/spreadsheetml/2010/11/main" uri="{B97F6D7D-B522-45F9-BDA1-12C45D357490}">
          <x15:cacheHierarchy aggregatedColumn="9"/>
        </ext>
      </extLst>
    </cacheHierarchy>
    <cacheHierarchy uniqueName="[Measures].[Average of Outcome]" caption="Average of Outcome" measure="1" displayFolder="" measureGroup="Table1" count="0">
      <extLst>
        <ext xmlns:x15="http://schemas.microsoft.com/office/spreadsheetml/2010/11/main" uri="{B97F6D7D-B522-45F9-BDA1-12C45D357490}">
          <x15:cacheHierarchy aggregatedColumn="11"/>
        </ext>
      </extLst>
    </cacheHierarchy>
    <cacheHierarchy uniqueName="[Measures].[Sum of Pregnancies]" caption="Sum of Pregnancies" measure="1" displayFolder="" measureGroup="Table1" count="0">
      <extLst>
        <ext xmlns:x15="http://schemas.microsoft.com/office/spreadsheetml/2010/11/main" uri="{B97F6D7D-B522-45F9-BDA1-12C45D357490}">
          <x15:cacheHierarchy aggregatedColumn="0"/>
        </ext>
      </extLst>
    </cacheHierarchy>
    <cacheHierarchy uniqueName="[Measures].[Count of Pregnancies]" caption="Count of Pregnancies" measure="1" displayFolder="" measureGroup="Table1" count="0">
      <extLst>
        <ext xmlns:x15="http://schemas.microsoft.com/office/spreadsheetml/2010/11/main" uri="{B97F6D7D-B522-45F9-BDA1-12C45D357490}">
          <x15:cacheHierarchy aggregatedColumn="0"/>
        </ext>
      </extLst>
    </cacheHierarchy>
    <cacheHierarchy uniqueName="[Measures].[Count of BMI Category]" caption="Count of BMI Category" measure="1" displayFolder="" measureGroup="Table1" count="0">
      <extLst>
        <ext xmlns:x15="http://schemas.microsoft.com/office/spreadsheetml/2010/11/main" uri="{B97F6D7D-B522-45F9-BDA1-12C45D357490}">
          <x15:cacheHierarchy aggregatedColumn="6"/>
        </ext>
      </extLst>
    </cacheHierarchy>
    <cacheHierarchy uniqueName="[Measures].[Sum of BMI]" caption="Sum of BMI" measure="1" displayFolder="" measureGroup="Table1" count="0">
      <extLst>
        <ext xmlns:x15="http://schemas.microsoft.com/office/spreadsheetml/2010/11/main" uri="{B97F6D7D-B522-45F9-BDA1-12C45D357490}">
          <x15:cacheHierarchy aggregatedColumn="7"/>
        </ext>
      </extLst>
    </cacheHierarchy>
    <cacheHierarchy uniqueName="[Measures].[Count of BMI]" caption="Count of BMI" measure="1" displayFolder="" measureGroup="Table1" count="0" oneField="1">
      <fieldsUsage count="1">
        <fieldUsage x="2"/>
      </fieldsUsage>
      <extLst>
        <ext xmlns:x15="http://schemas.microsoft.com/office/spreadsheetml/2010/11/main" uri="{B97F6D7D-B522-45F9-BDA1-12C45D357490}">
          <x15:cacheHierarchy aggregatedColumn="7"/>
        </ext>
      </extLst>
    </cacheHierarchy>
    <cacheHierarchy uniqueName="[Measures].[Count of Glucose Category]" caption="Count of Glucose Category" measure="1" displayFolder="" measureGroup="Table1" count="0">
      <extLst>
        <ext xmlns:x15="http://schemas.microsoft.com/office/spreadsheetml/2010/11/main" uri="{B97F6D7D-B522-45F9-BDA1-12C45D357490}">
          <x15:cacheHierarchy aggregatedColumn="1"/>
        </ext>
      </extLst>
    </cacheHierarchy>
    <cacheHierarchy uniqueName="[Measures].[Avg Glucose Level]" caption="Avg Glucose Level" measure="1" displayFolder="" measureGroup="Table1" count="0"/>
    <cacheHierarchy uniqueName="[Measures].[Avg BMI]" caption="Avg BMI" measure="1" displayFolder="" measureGroup="Table1" count="0"/>
    <cacheHierarchy uniqueName="[Measures].[Avg Age]" caption="Avg Age" measure="1" displayFolder="" measureGroup="Table1" count="0"/>
    <cacheHierarchy uniqueName="[Measures].[Total Patients]" caption="Total Patients" measure="1" displayFolder="" measureGroup="Table1" count="0"/>
    <cacheHierarchy uniqueName="[Measures].[Total Diabetic Patients]" caption="Total Diabetic Patients" measure="1" displayFolder="" measureGroup="Table1" count="0"/>
    <cacheHierarchy uniqueName="[Measures].[Total Non-Diabetic Patients]" caption="Total Non-Diabetic Patients" measure="1" displayFolder="" measureGroup="Table1" count="0"/>
    <cacheHierarchy uniqueName="[Measures].[Diabetes Rate % ]" caption="Diabetes Rate % " measure="1" displayFolder="" measureGroup="Table1" count="0"/>
    <cacheHierarchy uniqueName="[Measures].[High Glucose Patients (&gt;140)]" caption="High Glucose Patients (&gt;140)" measure="1" displayFolder="" measureGroup="Table1" count="0"/>
    <cacheHierarchy uniqueName="[Measures].[Obese Patients (BMI ≥ 30)]" caption="Obese Patients (BMI ≥ 30)" measure="1" displayFolder="" measureGroup="Table1" count="0"/>
    <cacheHierarchy uniqueName="[Measures].[Avg Pregnancies]" caption="Avg Pregnancies" measure="1" displayFolder="" measureGroup="Table1" count="0"/>
    <cacheHierarchy uniqueName="[Measures].[Pregnant Patients]" caption="Pregnant Patients" measure="1" displayFolder="" measureGroup="Table1" count="0"/>
    <cacheHierarchy uniqueName="[Measures].[Non-Pregnant Patients]" caption="Non-Pregnant Patients" measure="1" displayFolder="" measureGroup="Table1" count="0"/>
    <cacheHierarchy uniqueName="[Measures].[TotalPregnantPatients]" caption="TotalPregnantPatients" measure="1" displayFolder="" measureGroup="Table1" count="0"/>
    <cacheHierarchy uniqueName="[Measures].[Pregnant Diabetic Patients]" caption="Pregnant Diabetic Patients" measure="1" displayFolder="" measureGroup="Table1" count="0"/>
    <cacheHierarchy uniqueName="[Measures].[Pregnant Non-Diabetic Patients]" caption="Pregnant Non-Diabetic Patients" measure="1" displayFolder="" measureGroup="Table1" count="0"/>
    <cacheHierarchy uniqueName="[Measures].[Young Patients (&lt;30)]" caption="Young Patients (&lt;30)" measure="1" displayFolder="" measureGroup="Table1" count="0"/>
    <cacheHierarchy uniqueName="[Measures].[Middle Age Patients(30–50)]" caption="Middle Age Patients(30–50)" measure="1" displayFolder="" measureGroup="Table1" count="0"/>
    <cacheHierarchy uniqueName="[Measures].[Older Patients (&gt;50)]" caption="Older Patients (&gt;50)" measure="1" displayFolder="" measureGroup="Table1" count="0"/>
    <cacheHierarchy uniqueName="[Measures].[Obese Diabetic]" caption="Obese Diabetic" measure="1" displayFolder="" measureGroup="Table1" count="0"/>
    <cacheHierarchy uniqueName="[Measures].[Avg Glucose]" caption="Avg Glucose" measure="1" displayFolder="" measureGroup="Table1" count="0"/>
    <cacheHierarchy uniqueName="[Measures].[Avg Blood Pressure]" caption="Avg Blood Pressure" measure="1" displayFolder="" measureGroup="Table1" count="0"/>
    <cacheHierarchy uniqueName="[Measures].[Avg Insulin]" caption="Avg Insul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189.92024861111" createdVersion="5" refreshedVersion="8" minRefreshableVersion="3" recordCount="0" supportSubquery="1" supportAdvancedDrill="1" xr:uid="{E35CDFF0-08B8-4FED-8E60-8F61E19AE088}">
  <cacheSource type="external" connectionId="1"/>
  <cacheFields count="3">
    <cacheField name="[Table1].[Glucose Category].[Glucose Category]" caption="Glucose Category" numFmtId="0" hierarchy="1" level="1">
      <sharedItems count="3">
        <s v="High Risk"/>
        <s v="Normal"/>
        <s v="Prediabetes"/>
      </sharedItems>
    </cacheField>
    <cacheField name="[Measures].[Count of Glucose]" caption="Count of Glucose" numFmtId="0" hierarchy="15" level="32767"/>
    <cacheField name="[Table1].[Age Group].[Age Group]" caption="Age Group" numFmtId="0" hierarchy="9" level="1">
      <sharedItems containsSemiMixedTypes="0" containsNonDate="0" containsString="0"/>
    </cacheField>
  </cacheFields>
  <cacheHierarchies count="52">
    <cacheHierarchy uniqueName="[Table1].[Pregnancies]" caption="Pregnancies" attribute="1" defaultMemberUniqueName="[Table1].[Pregnancies].[All]" allUniqueName="[Table1].[Pregnancies].[All]" dimensionUniqueName="[Table1]" displayFolder="" count="0" memberValueDatatype="20" unbalanced="0"/>
    <cacheHierarchy uniqueName="[Table1].[Glucose Category]" caption="Glucose Category" attribute="1" defaultMemberUniqueName="[Table1].[Glucose Category].[All]" allUniqueName="[Table1].[Glucose Category].[All]" dimensionUniqueName="[Table1]" displayFolder="" count="2" memberValueDatatype="130" unbalanced="0">
      <fieldsUsage count="2">
        <fieldUsage x="-1"/>
        <fieldUsage x="0"/>
      </fieldsUsage>
    </cacheHierarchy>
    <cacheHierarchy uniqueName="[Table1].[Glucose]" caption="Glucose" attribute="1" defaultMemberUniqueName="[Table1].[Glucose].[All]" allUniqueName="[Table1].[Glucose].[All]" dimensionUniqueName="[Table1]" displayFolder="" count="0" memberValueDatatype="20" unbalanced="0"/>
    <cacheHierarchy uniqueName="[Table1].[BloodPressure]" caption="BloodPressure" attribute="1" defaultMemberUniqueName="[Table1].[BloodPressure].[All]" allUniqueName="[Table1].[BloodPressure].[All]" dimensionUniqueName="[Table1]" displayFolder="" count="0" memberValueDatatype="20" unbalanced="0"/>
    <cacheHierarchy uniqueName="[Table1].[SkinThickness]" caption="SkinThickness" attribute="1" defaultMemberUniqueName="[Table1].[SkinThickness].[All]" allUniqueName="[Table1].[SkinThickness].[All]" dimensionUniqueName="[Table1]" displayFolder="" count="0" memberValueDatatype="20" unbalanced="0"/>
    <cacheHierarchy uniqueName="[Table1].[Insulin]" caption="Insulin" attribute="1" defaultMemberUniqueName="[Table1].[Insulin].[All]" allUniqueName="[Table1].[Insulin].[All]" dimensionUniqueName="[Table1]" displayFolder="" count="0" memberValueDatatype="20" unbalanced="0"/>
    <cacheHierarchy uniqueName="[Table1].[BMI Category]" caption="BMI Category" attribute="1" defaultMemberUniqueName="[Table1].[BMI Category].[All]" allUniqueName="[Table1].[BMI Category].[All]" dimensionUniqueName="[Table1]" displayFolder="" count="2" memberValueDatatype="130" unbalanced="0"/>
    <cacheHierarchy uniqueName="[Table1].[BMI]" caption="BMI" attribute="1" defaultMemberUniqueName="[Table1].[BMI].[All]" allUniqueName="[Table1].[BMI].[All]" dimensionUniqueName="[Table1]" displayFolder="" count="0" memberValueDatatype="5" unbalanced="0"/>
    <cacheHierarchy uniqueName="[Table1].[DiabetesPedigreeFunction]" caption="DiabetesPedigreeFunction" attribute="1" defaultMemberUniqueName="[Table1].[DiabetesPedigreeFunction].[All]" allUniqueName="[Table1].[DiabetesPedigreeFunction].[All]" dimensionUniqueName="[Table1]" displayFolder="" count="0" memberValueDatatype="5"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Outcome]" caption="Outcome" attribute="1" defaultMemberUniqueName="[Table1].[Outcome].[All]" allUniqueName="[Table1].[Outcome].[All]" dimensionUniqueName="[Table1]" displayFolder="" count="0" memberValueDatatype="20" unbalanced="0"/>
    <cacheHierarchy uniqueName="[Measures].[Sum of Glucose]" caption="Sum of Glucose" measure="1" displayFolder="" measureGroup="Table1" count="0">
      <extLst>
        <ext xmlns:x15="http://schemas.microsoft.com/office/spreadsheetml/2010/11/main" uri="{B97F6D7D-B522-45F9-BDA1-12C45D357490}">
          <x15:cacheHierarchy aggregatedColumn="2"/>
        </ext>
      </extLst>
    </cacheHierarchy>
    <cacheHierarchy uniqueName="[Measures].[Min of Glucose]" caption="Min of Glucose" measure="1" displayFolder="" measureGroup="Table1" count="0">
      <extLst>
        <ext xmlns:x15="http://schemas.microsoft.com/office/spreadsheetml/2010/11/main" uri="{B97F6D7D-B522-45F9-BDA1-12C45D357490}">
          <x15:cacheHierarchy aggregatedColumn="2"/>
        </ext>
      </extLst>
    </cacheHierarchy>
    <cacheHierarchy uniqueName="[Measures].[Max of Glucose]" caption="Max of Glucose" measure="1" displayFolder="" measureGroup="Table1" count="0">
      <extLst>
        <ext xmlns:x15="http://schemas.microsoft.com/office/spreadsheetml/2010/11/main" uri="{B97F6D7D-B522-45F9-BDA1-12C45D357490}">
          <x15:cacheHierarchy aggregatedColumn="2"/>
        </ext>
      </extLst>
    </cacheHierarchy>
    <cacheHierarchy uniqueName="[Measures].[Count of Glucose]" caption="Count of Glucose" measure="1" displayFolder="" measureGroup="Table1" count="0" oneField="1">
      <fieldsUsage count="1">
        <fieldUsage x="1"/>
      </fieldsUsage>
      <extLst>
        <ext xmlns:x15="http://schemas.microsoft.com/office/spreadsheetml/2010/11/main" uri="{B97F6D7D-B522-45F9-BDA1-12C45D357490}">
          <x15:cacheHierarchy aggregatedColumn="2"/>
        </ext>
      </extLst>
    </cacheHierarchy>
    <cacheHierarchy uniqueName="[Measures].[Distinct Count of Glucose]" caption="Distinct Count of Glucose" measure="1" displayFolder="" measureGroup="Table1" count="0">
      <extLst>
        <ext xmlns:x15="http://schemas.microsoft.com/office/spreadsheetml/2010/11/main" uri="{B97F6D7D-B522-45F9-BDA1-12C45D357490}">
          <x15:cacheHierarchy aggregatedColumn="2"/>
        </ext>
      </extLst>
    </cacheHierarchy>
    <cacheHierarchy uniqueName="[Measures].[Average of Glucose]" caption="Average of Glucose" measure="1" displayFolder="" measureGroup="Table1" count="0">
      <extLst>
        <ext xmlns:x15="http://schemas.microsoft.com/office/spreadsheetml/2010/11/main" uri="{B97F6D7D-B522-45F9-BDA1-12C45D357490}">
          <x15:cacheHierarchy aggregatedColumn="2"/>
        </ext>
      </extLst>
    </cacheHierarchy>
    <cacheHierarchy uniqueName="[Measures].[Sum of Outcome]" caption="Sum of Outcome" measure="1" displayFolder="" measureGroup="Table1" count="0">
      <extLst>
        <ext xmlns:x15="http://schemas.microsoft.com/office/spreadsheetml/2010/11/main" uri="{B97F6D7D-B522-45F9-BDA1-12C45D357490}">
          <x15:cacheHierarchy aggregatedColumn="11"/>
        </ext>
      </extLst>
    </cacheHierarchy>
    <cacheHierarchy uniqueName="[Measures].[Count of Outcome]" caption="Count of Outcome" measure="1" displayFolder="" measureGroup="Table1" count="0">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extLst>
        <ext xmlns:x15="http://schemas.microsoft.com/office/spreadsheetml/2010/11/main" uri="{B97F6D7D-B522-45F9-BDA1-12C45D357490}">
          <x15:cacheHierarchy aggregatedColumn="9"/>
        </ext>
      </extLst>
    </cacheHierarchy>
    <cacheHierarchy uniqueName="[Measures].[Average of Outcome]" caption="Average of Outcome" measure="1" displayFolder="" measureGroup="Table1" count="0">
      <extLst>
        <ext xmlns:x15="http://schemas.microsoft.com/office/spreadsheetml/2010/11/main" uri="{B97F6D7D-B522-45F9-BDA1-12C45D357490}">
          <x15:cacheHierarchy aggregatedColumn="11"/>
        </ext>
      </extLst>
    </cacheHierarchy>
    <cacheHierarchy uniqueName="[Measures].[Sum of Pregnancies]" caption="Sum of Pregnancies" measure="1" displayFolder="" measureGroup="Table1" count="0">
      <extLst>
        <ext xmlns:x15="http://schemas.microsoft.com/office/spreadsheetml/2010/11/main" uri="{B97F6D7D-B522-45F9-BDA1-12C45D357490}">
          <x15:cacheHierarchy aggregatedColumn="0"/>
        </ext>
      </extLst>
    </cacheHierarchy>
    <cacheHierarchy uniqueName="[Measures].[Count of Pregnancies]" caption="Count of Pregnancies" measure="1" displayFolder="" measureGroup="Table1" count="0">
      <extLst>
        <ext xmlns:x15="http://schemas.microsoft.com/office/spreadsheetml/2010/11/main" uri="{B97F6D7D-B522-45F9-BDA1-12C45D357490}">
          <x15:cacheHierarchy aggregatedColumn="0"/>
        </ext>
      </extLst>
    </cacheHierarchy>
    <cacheHierarchy uniqueName="[Measures].[Count of BMI Category]" caption="Count of BMI Category" measure="1" displayFolder="" measureGroup="Table1" count="0">
      <extLst>
        <ext xmlns:x15="http://schemas.microsoft.com/office/spreadsheetml/2010/11/main" uri="{B97F6D7D-B522-45F9-BDA1-12C45D357490}">
          <x15:cacheHierarchy aggregatedColumn="6"/>
        </ext>
      </extLst>
    </cacheHierarchy>
    <cacheHierarchy uniqueName="[Measures].[Sum of BMI]" caption="Sum of BMI" measure="1" displayFolder="" measureGroup="Table1" count="0">
      <extLst>
        <ext xmlns:x15="http://schemas.microsoft.com/office/spreadsheetml/2010/11/main" uri="{B97F6D7D-B522-45F9-BDA1-12C45D357490}">
          <x15:cacheHierarchy aggregatedColumn="7"/>
        </ext>
      </extLst>
    </cacheHierarchy>
    <cacheHierarchy uniqueName="[Measures].[Count of BMI]" caption="Count of BMI" measure="1" displayFolder="" measureGroup="Table1" count="0">
      <extLst>
        <ext xmlns:x15="http://schemas.microsoft.com/office/spreadsheetml/2010/11/main" uri="{B97F6D7D-B522-45F9-BDA1-12C45D357490}">
          <x15:cacheHierarchy aggregatedColumn="7"/>
        </ext>
      </extLst>
    </cacheHierarchy>
    <cacheHierarchy uniqueName="[Measures].[Count of Glucose Category]" caption="Count of Glucose Category" measure="1" displayFolder="" measureGroup="Table1" count="0">
      <extLst>
        <ext xmlns:x15="http://schemas.microsoft.com/office/spreadsheetml/2010/11/main" uri="{B97F6D7D-B522-45F9-BDA1-12C45D357490}">
          <x15:cacheHierarchy aggregatedColumn="1"/>
        </ext>
      </extLst>
    </cacheHierarchy>
    <cacheHierarchy uniqueName="[Measures].[Avg Glucose Level]" caption="Avg Glucose Level" measure="1" displayFolder="" measureGroup="Table1" count="0"/>
    <cacheHierarchy uniqueName="[Measures].[Avg BMI]" caption="Avg BMI" measure="1" displayFolder="" measureGroup="Table1" count="0"/>
    <cacheHierarchy uniqueName="[Measures].[Avg Age]" caption="Avg Age" measure="1" displayFolder="" measureGroup="Table1" count="0"/>
    <cacheHierarchy uniqueName="[Measures].[Total Patients]" caption="Total Patients" measure="1" displayFolder="" measureGroup="Table1" count="0"/>
    <cacheHierarchy uniqueName="[Measures].[Total Diabetic Patients]" caption="Total Diabetic Patients" measure="1" displayFolder="" measureGroup="Table1" count="0"/>
    <cacheHierarchy uniqueName="[Measures].[Total Non-Diabetic Patients]" caption="Total Non-Diabetic Patients" measure="1" displayFolder="" measureGroup="Table1" count="0"/>
    <cacheHierarchy uniqueName="[Measures].[Diabetes Rate % ]" caption="Diabetes Rate % " measure="1" displayFolder="" measureGroup="Table1" count="0"/>
    <cacheHierarchy uniqueName="[Measures].[High Glucose Patients (&gt;140)]" caption="High Glucose Patients (&gt;140)" measure="1" displayFolder="" measureGroup="Table1" count="0"/>
    <cacheHierarchy uniqueName="[Measures].[Obese Patients (BMI ≥ 30)]" caption="Obese Patients (BMI ≥ 30)" measure="1" displayFolder="" measureGroup="Table1" count="0"/>
    <cacheHierarchy uniqueName="[Measures].[Avg Pregnancies]" caption="Avg Pregnancies" measure="1" displayFolder="" measureGroup="Table1" count="0"/>
    <cacheHierarchy uniqueName="[Measures].[Pregnant Patients]" caption="Pregnant Patients" measure="1" displayFolder="" measureGroup="Table1" count="0"/>
    <cacheHierarchy uniqueName="[Measures].[Non-Pregnant Patients]" caption="Non-Pregnant Patients" measure="1" displayFolder="" measureGroup="Table1" count="0"/>
    <cacheHierarchy uniqueName="[Measures].[TotalPregnantPatients]" caption="TotalPregnantPatients" measure="1" displayFolder="" measureGroup="Table1" count="0"/>
    <cacheHierarchy uniqueName="[Measures].[Pregnant Diabetic Patients]" caption="Pregnant Diabetic Patients" measure="1" displayFolder="" measureGroup="Table1" count="0"/>
    <cacheHierarchy uniqueName="[Measures].[Pregnant Non-Diabetic Patients]" caption="Pregnant Non-Diabetic Patients" measure="1" displayFolder="" measureGroup="Table1" count="0"/>
    <cacheHierarchy uniqueName="[Measures].[Young Patients (&lt;30)]" caption="Young Patients (&lt;30)" measure="1" displayFolder="" measureGroup="Table1" count="0"/>
    <cacheHierarchy uniqueName="[Measures].[Middle Age Patients(30–50)]" caption="Middle Age Patients(30–50)" measure="1" displayFolder="" measureGroup="Table1" count="0"/>
    <cacheHierarchy uniqueName="[Measures].[Older Patients (&gt;50)]" caption="Older Patients (&gt;50)" measure="1" displayFolder="" measureGroup="Table1" count="0"/>
    <cacheHierarchy uniqueName="[Measures].[Obese Diabetic]" caption="Obese Diabetic" measure="1" displayFolder="" measureGroup="Table1" count="0"/>
    <cacheHierarchy uniqueName="[Measures].[Avg Glucose]" caption="Avg Glucose" measure="1" displayFolder="" measureGroup="Table1" count="0"/>
    <cacheHierarchy uniqueName="[Measures].[Avg Blood Pressure]" caption="Avg Blood Pressure" measure="1" displayFolder="" measureGroup="Table1" count="0"/>
    <cacheHierarchy uniqueName="[Measures].[Avg Insulin]" caption="Avg Insul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189.920249074072" createdVersion="5" refreshedVersion="8" minRefreshableVersion="3" recordCount="0" supportSubquery="1" supportAdvancedDrill="1" xr:uid="{69C90B6B-4F22-4E2E-A296-E69E429F74B2}">
  <cacheSource type="external" connectionId="1"/>
  <cacheFields count="3">
    <cacheField name="[Table1].[Outcome].[Outcome]" caption="Outcome" numFmtId="0" hierarchy="1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Outcome].&amp;[0]"/>
            <x15:cachedUniqueName index="1" name="[Table1].[Outcome].&amp;[1]"/>
          </x15:cachedUniqueNames>
        </ext>
      </extLst>
    </cacheField>
    <cacheField name="[Measures].[Total Patients]" caption="Total Patients" numFmtId="0" hierarchy="31" level="32767"/>
    <cacheField name="[Table1].[Age Group].[Age Group]" caption="Age Group" numFmtId="0" hierarchy="9" level="1">
      <sharedItems containsSemiMixedTypes="0" containsNonDate="0" containsString="0"/>
    </cacheField>
  </cacheFields>
  <cacheHierarchies count="52">
    <cacheHierarchy uniqueName="[Table1].[Pregnancies]" caption="Pregnancies" attribute="1" defaultMemberUniqueName="[Table1].[Pregnancies].[All]" allUniqueName="[Table1].[Pregnancies].[All]" dimensionUniqueName="[Table1]" displayFolder="" count="0" memberValueDatatype="20" unbalanced="0"/>
    <cacheHierarchy uniqueName="[Table1].[Glucose Category]" caption="Glucose Category" attribute="1" defaultMemberUniqueName="[Table1].[Glucose Category].[All]" allUniqueName="[Table1].[Glucose Category].[All]" dimensionUniqueName="[Table1]" displayFolder="" count="2" memberValueDatatype="130" unbalanced="0"/>
    <cacheHierarchy uniqueName="[Table1].[Glucose]" caption="Glucose" attribute="1" defaultMemberUniqueName="[Table1].[Glucose].[All]" allUniqueName="[Table1].[Glucose].[All]" dimensionUniqueName="[Table1]" displayFolder="" count="0" memberValueDatatype="20" unbalanced="0"/>
    <cacheHierarchy uniqueName="[Table1].[BloodPressure]" caption="BloodPressure" attribute="1" defaultMemberUniqueName="[Table1].[BloodPressure].[All]" allUniqueName="[Table1].[BloodPressure].[All]" dimensionUniqueName="[Table1]" displayFolder="" count="0" memberValueDatatype="20" unbalanced="0"/>
    <cacheHierarchy uniqueName="[Table1].[SkinThickness]" caption="SkinThickness" attribute="1" defaultMemberUniqueName="[Table1].[SkinThickness].[All]" allUniqueName="[Table1].[SkinThickness].[All]" dimensionUniqueName="[Table1]" displayFolder="" count="0" memberValueDatatype="20" unbalanced="0"/>
    <cacheHierarchy uniqueName="[Table1].[Insulin]" caption="Insulin" attribute="1" defaultMemberUniqueName="[Table1].[Insulin].[All]" allUniqueName="[Table1].[Insulin].[All]" dimensionUniqueName="[Table1]" displayFolder="" count="0" memberValueDatatype="20" unbalanced="0"/>
    <cacheHierarchy uniqueName="[Table1].[BMI Category]" caption="BMI Category" attribute="1" defaultMemberUniqueName="[Table1].[BMI Category].[All]" allUniqueName="[Table1].[BMI Category].[All]" dimensionUniqueName="[Table1]" displayFolder="" count="2" memberValueDatatype="130" unbalanced="0"/>
    <cacheHierarchy uniqueName="[Table1].[BMI]" caption="BMI" attribute="1" defaultMemberUniqueName="[Table1].[BMI].[All]" allUniqueName="[Table1].[BMI].[All]" dimensionUniqueName="[Table1]" displayFolder="" count="0" memberValueDatatype="5" unbalanced="0"/>
    <cacheHierarchy uniqueName="[Table1].[DiabetesPedigreeFunction]" caption="DiabetesPedigreeFunction" attribute="1" defaultMemberUniqueName="[Table1].[DiabetesPedigreeFunction].[All]" allUniqueName="[Table1].[DiabetesPedigreeFunction].[All]" dimensionUniqueName="[Table1]" displayFolder="" count="0" memberValueDatatype="5"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Outcome]" caption="Outcome" attribute="1" defaultMemberUniqueName="[Table1].[Outcome].[All]" allUniqueName="[Table1].[Outcome].[All]" dimensionUniqueName="[Table1]" displayFolder="" count="2" memberValueDatatype="20" unbalanced="0">
      <fieldsUsage count="2">
        <fieldUsage x="-1"/>
        <fieldUsage x="0"/>
      </fieldsUsage>
    </cacheHierarchy>
    <cacheHierarchy uniqueName="[Measures].[Sum of Glucose]" caption="Sum of Glucose" measure="1" displayFolder="" measureGroup="Table1" count="0">
      <extLst>
        <ext xmlns:x15="http://schemas.microsoft.com/office/spreadsheetml/2010/11/main" uri="{B97F6D7D-B522-45F9-BDA1-12C45D357490}">
          <x15:cacheHierarchy aggregatedColumn="2"/>
        </ext>
      </extLst>
    </cacheHierarchy>
    <cacheHierarchy uniqueName="[Measures].[Min of Glucose]" caption="Min of Glucose" measure="1" displayFolder="" measureGroup="Table1" count="0">
      <extLst>
        <ext xmlns:x15="http://schemas.microsoft.com/office/spreadsheetml/2010/11/main" uri="{B97F6D7D-B522-45F9-BDA1-12C45D357490}">
          <x15:cacheHierarchy aggregatedColumn="2"/>
        </ext>
      </extLst>
    </cacheHierarchy>
    <cacheHierarchy uniqueName="[Measures].[Max of Glucose]" caption="Max of Glucose" measure="1" displayFolder="" measureGroup="Table1" count="0">
      <extLst>
        <ext xmlns:x15="http://schemas.microsoft.com/office/spreadsheetml/2010/11/main" uri="{B97F6D7D-B522-45F9-BDA1-12C45D357490}">
          <x15:cacheHierarchy aggregatedColumn="2"/>
        </ext>
      </extLst>
    </cacheHierarchy>
    <cacheHierarchy uniqueName="[Measures].[Count of Glucose]" caption="Count of Glucose" measure="1" displayFolder="" measureGroup="Table1" count="0">
      <extLst>
        <ext xmlns:x15="http://schemas.microsoft.com/office/spreadsheetml/2010/11/main" uri="{B97F6D7D-B522-45F9-BDA1-12C45D357490}">
          <x15:cacheHierarchy aggregatedColumn="2"/>
        </ext>
      </extLst>
    </cacheHierarchy>
    <cacheHierarchy uniqueName="[Measures].[Distinct Count of Glucose]" caption="Distinct Count of Glucose" measure="1" displayFolder="" measureGroup="Table1" count="0">
      <extLst>
        <ext xmlns:x15="http://schemas.microsoft.com/office/spreadsheetml/2010/11/main" uri="{B97F6D7D-B522-45F9-BDA1-12C45D357490}">
          <x15:cacheHierarchy aggregatedColumn="2"/>
        </ext>
      </extLst>
    </cacheHierarchy>
    <cacheHierarchy uniqueName="[Measures].[Average of Glucose]" caption="Average of Glucose" measure="1" displayFolder="" measureGroup="Table1" count="0">
      <extLst>
        <ext xmlns:x15="http://schemas.microsoft.com/office/spreadsheetml/2010/11/main" uri="{B97F6D7D-B522-45F9-BDA1-12C45D357490}">
          <x15:cacheHierarchy aggregatedColumn="2"/>
        </ext>
      </extLst>
    </cacheHierarchy>
    <cacheHierarchy uniqueName="[Measures].[Sum of Outcome]" caption="Sum of Outcome" measure="1" displayFolder="" measureGroup="Table1" count="0">
      <extLst>
        <ext xmlns:x15="http://schemas.microsoft.com/office/spreadsheetml/2010/11/main" uri="{B97F6D7D-B522-45F9-BDA1-12C45D357490}">
          <x15:cacheHierarchy aggregatedColumn="11"/>
        </ext>
      </extLst>
    </cacheHierarchy>
    <cacheHierarchy uniqueName="[Measures].[Count of Outcome]" caption="Count of Outcome" measure="1" displayFolder="" measureGroup="Table1" count="0">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extLst>
        <ext xmlns:x15="http://schemas.microsoft.com/office/spreadsheetml/2010/11/main" uri="{B97F6D7D-B522-45F9-BDA1-12C45D357490}">
          <x15:cacheHierarchy aggregatedColumn="9"/>
        </ext>
      </extLst>
    </cacheHierarchy>
    <cacheHierarchy uniqueName="[Measures].[Average of Outcome]" caption="Average of Outcome" measure="1" displayFolder="" measureGroup="Table1" count="0">
      <extLst>
        <ext xmlns:x15="http://schemas.microsoft.com/office/spreadsheetml/2010/11/main" uri="{B97F6D7D-B522-45F9-BDA1-12C45D357490}">
          <x15:cacheHierarchy aggregatedColumn="11"/>
        </ext>
      </extLst>
    </cacheHierarchy>
    <cacheHierarchy uniqueName="[Measures].[Sum of Pregnancies]" caption="Sum of Pregnancies" measure="1" displayFolder="" measureGroup="Table1" count="0">
      <extLst>
        <ext xmlns:x15="http://schemas.microsoft.com/office/spreadsheetml/2010/11/main" uri="{B97F6D7D-B522-45F9-BDA1-12C45D357490}">
          <x15:cacheHierarchy aggregatedColumn="0"/>
        </ext>
      </extLst>
    </cacheHierarchy>
    <cacheHierarchy uniqueName="[Measures].[Count of Pregnancies]" caption="Count of Pregnancies" measure="1" displayFolder="" measureGroup="Table1" count="0">
      <extLst>
        <ext xmlns:x15="http://schemas.microsoft.com/office/spreadsheetml/2010/11/main" uri="{B97F6D7D-B522-45F9-BDA1-12C45D357490}">
          <x15:cacheHierarchy aggregatedColumn="0"/>
        </ext>
      </extLst>
    </cacheHierarchy>
    <cacheHierarchy uniqueName="[Measures].[Count of BMI Category]" caption="Count of BMI Category" measure="1" displayFolder="" measureGroup="Table1" count="0">
      <extLst>
        <ext xmlns:x15="http://schemas.microsoft.com/office/spreadsheetml/2010/11/main" uri="{B97F6D7D-B522-45F9-BDA1-12C45D357490}">
          <x15:cacheHierarchy aggregatedColumn="6"/>
        </ext>
      </extLst>
    </cacheHierarchy>
    <cacheHierarchy uniqueName="[Measures].[Sum of BMI]" caption="Sum of BMI" measure="1" displayFolder="" measureGroup="Table1" count="0">
      <extLst>
        <ext xmlns:x15="http://schemas.microsoft.com/office/spreadsheetml/2010/11/main" uri="{B97F6D7D-B522-45F9-BDA1-12C45D357490}">
          <x15:cacheHierarchy aggregatedColumn="7"/>
        </ext>
      </extLst>
    </cacheHierarchy>
    <cacheHierarchy uniqueName="[Measures].[Count of BMI]" caption="Count of BMI" measure="1" displayFolder="" measureGroup="Table1" count="0">
      <extLst>
        <ext xmlns:x15="http://schemas.microsoft.com/office/spreadsheetml/2010/11/main" uri="{B97F6D7D-B522-45F9-BDA1-12C45D357490}">
          <x15:cacheHierarchy aggregatedColumn="7"/>
        </ext>
      </extLst>
    </cacheHierarchy>
    <cacheHierarchy uniqueName="[Measures].[Count of Glucose Category]" caption="Count of Glucose Category" measure="1" displayFolder="" measureGroup="Table1" count="0">
      <extLst>
        <ext xmlns:x15="http://schemas.microsoft.com/office/spreadsheetml/2010/11/main" uri="{B97F6D7D-B522-45F9-BDA1-12C45D357490}">
          <x15:cacheHierarchy aggregatedColumn="1"/>
        </ext>
      </extLst>
    </cacheHierarchy>
    <cacheHierarchy uniqueName="[Measures].[Avg Glucose Level]" caption="Avg Glucose Level" measure="1" displayFolder="" measureGroup="Table1" count="0"/>
    <cacheHierarchy uniqueName="[Measures].[Avg BMI]" caption="Avg BMI" measure="1" displayFolder="" measureGroup="Table1" count="0"/>
    <cacheHierarchy uniqueName="[Measures].[Avg Age]" caption="Avg Age" measure="1" displayFolder="" measureGroup="Table1" count="0"/>
    <cacheHierarchy uniqueName="[Measures].[Total Patients]" caption="Total Patients" measure="1" displayFolder="" measureGroup="Table1" count="0" oneField="1">
      <fieldsUsage count="1">
        <fieldUsage x="1"/>
      </fieldsUsage>
    </cacheHierarchy>
    <cacheHierarchy uniqueName="[Measures].[Total Diabetic Patients]" caption="Total Diabetic Patients" measure="1" displayFolder="" measureGroup="Table1" count="0"/>
    <cacheHierarchy uniqueName="[Measures].[Total Non-Diabetic Patients]" caption="Total Non-Diabetic Patients" measure="1" displayFolder="" measureGroup="Table1" count="0"/>
    <cacheHierarchy uniqueName="[Measures].[Diabetes Rate % ]" caption="Diabetes Rate % " measure="1" displayFolder="" measureGroup="Table1" count="0"/>
    <cacheHierarchy uniqueName="[Measures].[High Glucose Patients (&gt;140)]" caption="High Glucose Patients (&gt;140)" measure="1" displayFolder="" measureGroup="Table1" count="0"/>
    <cacheHierarchy uniqueName="[Measures].[Obese Patients (BMI ≥ 30)]" caption="Obese Patients (BMI ≥ 30)" measure="1" displayFolder="" measureGroup="Table1" count="0"/>
    <cacheHierarchy uniqueName="[Measures].[Avg Pregnancies]" caption="Avg Pregnancies" measure="1" displayFolder="" measureGroup="Table1" count="0"/>
    <cacheHierarchy uniqueName="[Measures].[Pregnant Patients]" caption="Pregnant Patients" measure="1" displayFolder="" measureGroup="Table1" count="0"/>
    <cacheHierarchy uniqueName="[Measures].[Non-Pregnant Patients]" caption="Non-Pregnant Patients" measure="1" displayFolder="" measureGroup="Table1" count="0"/>
    <cacheHierarchy uniqueName="[Measures].[TotalPregnantPatients]" caption="TotalPregnantPatients" measure="1" displayFolder="" measureGroup="Table1" count="0"/>
    <cacheHierarchy uniqueName="[Measures].[Pregnant Diabetic Patients]" caption="Pregnant Diabetic Patients" measure="1" displayFolder="" measureGroup="Table1" count="0"/>
    <cacheHierarchy uniqueName="[Measures].[Pregnant Non-Diabetic Patients]" caption="Pregnant Non-Diabetic Patients" measure="1" displayFolder="" measureGroup="Table1" count="0"/>
    <cacheHierarchy uniqueName="[Measures].[Young Patients (&lt;30)]" caption="Young Patients (&lt;30)" measure="1" displayFolder="" measureGroup="Table1" count="0"/>
    <cacheHierarchy uniqueName="[Measures].[Middle Age Patients(30–50)]" caption="Middle Age Patients(30–50)" measure="1" displayFolder="" measureGroup="Table1" count="0"/>
    <cacheHierarchy uniqueName="[Measures].[Older Patients (&gt;50)]" caption="Older Patients (&gt;50)" measure="1" displayFolder="" measureGroup="Table1" count="0"/>
    <cacheHierarchy uniqueName="[Measures].[Obese Diabetic]" caption="Obese Diabetic" measure="1" displayFolder="" measureGroup="Table1" count="0"/>
    <cacheHierarchy uniqueName="[Measures].[Avg Glucose]" caption="Avg Glucose" measure="1" displayFolder="" measureGroup="Table1" count="0"/>
    <cacheHierarchy uniqueName="[Measures].[Avg Blood Pressure]" caption="Avg Blood Pressure" measure="1" displayFolder="" measureGroup="Table1" count="0"/>
    <cacheHierarchy uniqueName="[Measures].[Avg Insulin]" caption="Avg Insul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189.920249768518" createdVersion="5" refreshedVersion="8" minRefreshableVersion="3" recordCount="0" supportSubquery="1" supportAdvancedDrill="1" xr:uid="{06780AA4-7B69-4F38-ABC5-1C07FFD5DDD9}">
  <cacheSource type="external" connectionId="1"/>
  <cacheFields count="3">
    <cacheField name="[Measures].[Avg BMI]" caption="Avg BMI" numFmtId="0" hierarchy="29" level="32767"/>
    <cacheField name="[Table1].[Outcome].[Outcome]" caption="Outcome" numFmtId="0" hierarchy="1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Outcome].&amp;[0]"/>
            <x15:cachedUniqueName index="1" name="[Table1].[Outcome].&amp;[1]"/>
          </x15:cachedUniqueNames>
        </ext>
      </extLst>
    </cacheField>
    <cacheField name="[Table1].[Age Group].[Age Group]" caption="Age Group" numFmtId="0" hierarchy="9" level="1">
      <sharedItems containsSemiMixedTypes="0" containsNonDate="0" containsString="0"/>
    </cacheField>
  </cacheFields>
  <cacheHierarchies count="52">
    <cacheHierarchy uniqueName="[Table1].[Pregnancies]" caption="Pregnancies" attribute="1" defaultMemberUniqueName="[Table1].[Pregnancies].[All]" allUniqueName="[Table1].[Pregnancies].[All]" dimensionUniqueName="[Table1]" displayFolder="" count="0" memberValueDatatype="20" unbalanced="0"/>
    <cacheHierarchy uniqueName="[Table1].[Glucose Category]" caption="Glucose Category" attribute="1" defaultMemberUniqueName="[Table1].[Glucose Category].[All]" allUniqueName="[Table1].[Glucose Category].[All]" dimensionUniqueName="[Table1]" displayFolder="" count="2" memberValueDatatype="130" unbalanced="0"/>
    <cacheHierarchy uniqueName="[Table1].[Glucose]" caption="Glucose" attribute="1" defaultMemberUniqueName="[Table1].[Glucose].[All]" allUniqueName="[Table1].[Glucose].[All]" dimensionUniqueName="[Table1]" displayFolder="" count="0" memberValueDatatype="20" unbalanced="0"/>
    <cacheHierarchy uniqueName="[Table1].[BloodPressure]" caption="BloodPressure" attribute="1" defaultMemberUniqueName="[Table1].[BloodPressure].[All]" allUniqueName="[Table1].[BloodPressure].[All]" dimensionUniqueName="[Table1]" displayFolder="" count="0" memberValueDatatype="20" unbalanced="0"/>
    <cacheHierarchy uniqueName="[Table1].[SkinThickness]" caption="SkinThickness" attribute="1" defaultMemberUniqueName="[Table1].[SkinThickness].[All]" allUniqueName="[Table1].[SkinThickness].[All]" dimensionUniqueName="[Table1]" displayFolder="" count="0" memberValueDatatype="20" unbalanced="0"/>
    <cacheHierarchy uniqueName="[Table1].[Insulin]" caption="Insulin" attribute="1" defaultMemberUniqueName="[Table1].[Insulin].[All]" allUniqueName="[Table1].[Insulin].[All]" dimensionUniqueName="[Table1]" displayFolder="" count="0" memberValueDatatype="20" unbalanced="0"/>
    <cacheHierarchy uniqueName="[Table1].[BMI Category]" caption="BMI Category" attribute="1" defaultMemberUniqueName="[Table1].[BMI Category].[All]" allUniqueName="[Table1].[BMI Category].[All]" dimensionUniqueName="[Table1]" displayFolder="" count="2" memberValueDatatype="130" unbalanced="0"/>
    <cacheHierarchy uniqueName="[Table1].[BMI]" caption="BMI" attribute="1" defaultMemberUniqueName="[Table1].[BMI].[All]" allUniqueName="[Table1].[BMI].[All]" dimensionUniqueName="[Table1]" displayFolder="" count="0" memberValueDatatype="5" unbalanced="0"/>
    <cacheHierarchy uniqueName="[Table1].[DiabetesPedigreeFunction]" caption="DiabetesPedigreeFunction" attribute="1" defaultMemberUniqueName="[Table1].[DiabetesPedigreeFunction].[All]" allUniqueName="[Table1].[DiabetesPedigreeFunction].[All]" dimensionUniqueName="[Table1]" displayFolder="" count="0" memberValueDatatype="5"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Outcome]" caption="Outcome" attribute="1" defaultMemberUniqueName="[Table1].[Outcome].[All]" allUniqueName="[Table1].[Outcome].[All]" dimensionUniqueName="[Table1]" displayFolder="" count="2" memberValueDatatype="20" unbalanced="0">
      <fieldsUsage count="2">
        <fieldUsage x="-1"/>
        <fieldUsage x="1"/>
      </fieldsUsage>
    </cacheHierarchy>
    <cacheHierarchy uniqueName="[Measures].[Sum of Glucose]" caption="Sum of Glucose" measure="1" displayFolder="" measureGroup="Table1" count="0">
      <extLst>
        <ext xmlns:x15="http://schemas.microsoft.com/office/spreadsheetml/2010/11/main" uri="{B97F6D7D-B522-45F9-BDA1-12C45D357490}">
          <x15:cacheHierarchy aggregatedColumn="2"/>
        </ext>
      </extLst>
    </cacheHierarchy>
    <cacheHierarchy uniqueName="[Measures].[Min of Glucose]" caption="Min of Glucose" measure="1" displayFolder="" measureGroup="Table1" count="0">
      <extLst>
        <ext xmlns:x15="http://schemas.microsoft.com/office/spreadsheetml/2010/11/main" uri="{B97F6D7D-B522-45F9-BDA1-12C45D357490}">
          <x15:cacheHierarchy aggregatedColumn="2"/>
        </ext>
      </extLst>
    </cacheHierarchy>
    <cacheHierarchy uniqueName="[Measures].[Max of Glucose]" caption="Max of Glucose" measure="1" displayFolder="" measureGroup="Table1" count="0">
      <extLst>
        <ext xmlns:x15="http://schemas.microsoft.com/office/spreadsheetml/2010/11/main" uri="{B97F6D7D-B522-45F9-BDA1-12C45D357490}">
          <x15:cacheHierarchy aggregatedColumn="2"/>
        </ext>
      </extLst>
    </cacheHierarchy>
    <cacheHierarchy uniqueName="[Measures].[Count of Glucose]" caption="Count of Glucose" measure="1" displayFolder="" measureGroup="Table1" count="0">
      <extLst>
        <ext xmlns:x15="http://schemas.microsoft.com/office/spreadsheetml/2010/11/main" uri="{B97F6D7D-B522-45F9-BDA1-12C45D357490}">
          <x15:cacheHierarchy aggregatedColumn="2"/>
        </ext>
      </extLst>
    </cacheHierarchy>
    <cacheHierarchy uniqueName="[Measures].[Distinct Count of Glucose]" caption="Distinct Count of Glucose" measure="1" displayFolder="" measureGroup="Table1" count="0">
      <extLst>
        <ext xmlns:x15="http://schemas.microsoft.com/office/spreadsheetml/2010/11/main" uri="{B97F6D7D-B522-45F9-BDA1-12C45D357490}">
          <x15:cacheHierarchy aggregatedColumn="2"/>
        </ext>
      </extLst>
    </cacheHierarchy>
    <cacheHierarchy uniqueName="[Measures].[Average of Glucose]" caption="Average of Glucose" measure="1" displayFolder="" measureGroup="Table1" count="0">
      <extLst>
        <ext xmlns:x15="http://schemas.microsoft.com/office/spreadsheetml/2010/11/main" uri="{B97F6D7D-B522-45F9-BDA1-12C45D357490}">
          <x15:cacheHierarchy aggregatedColumn="2"/>
        </ext>
      </extLst>
    </cacheHierarchy>
    <cacheHierarchy uniqueName="[Measures].[Sum of Outcome]" caption="Sum of Outcome" measure="1" displayFolder="" measureGroup="Table1" count="0">
      <extLst>
        <ext xmlns:x15="http://schemas.microsoft.com/office/spreadsheetml/2010/11/main" uri="{B97F6D7D-B522-45F9-BDA1-12C45D357490}">
          <x15:cacheHierarchy aggregatedColumn="11"/>
        </ext>
      </extLst>
    </cacheHierarchy>
    <cacheHierarchy uniqueName="[Measures].[Count of Outcome]" caption="Count of Outcome" measure="1" displayFolder="" measureGroup="Table1" count="0">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extLst>
        <ext xmlns:x15="http://schemas.microsoft.com/office/spreadsheetml/2010/11/main" uri="{B97F6D7D-B522-45F9-BDA1-12C45D357490}">
          <x15:cacheHierarchy aggregatedColumn="9"/>
        </ext>
      </extLst>
    </cacheHierarchy>
    <cacheHierarchy uniqueName="[Measures].[Average of Outcome]" caption="Average of Outcome" measure="1" displayFolder="" measureGroup="Table1" count="0">
      <extLst>
        <ext xmlns:x15="http://schemas.microsoft.com/office/spreadsheetml/2010/11/main" uri="{B97F6D7D-B522-45F9-BDA1-12C45D357490}">
          <x15:cacheHierarchy aggregatedColumn="11"/>
        </ext>
      </extLst>
    </cacheHierarchy>
    <cacheHierarchy uniqueName="[Measures].[Sum of Pregnancies]" caption="Sum of Pregnancies" measure="1" displayFolder="" measureGroup="Table1" count="0">
      <extLst>
        <ext xmlns:x15="http://schemas.microsoft.com/office/spreadsheetml/2010/11/main" uri="{B97F6D7D-B522-45F9-BDA1-12C45D357490}">
          <x15:cacheHierarchy aggregatedColumn="0"/>
        </ext>
      </extLst>
    </cacheHierarchy>
    <cacheHierarchy uniqueName="[Measures].[Count of Pregnancies]" caption="Count of Pregnancies" measure="1" displayFolder="" measureGroup="Table1" count="0">
      <extLst>
        <ext xmlns:x15="http://schemas.microsoft.com/office/spreadsheetml/2010/11/main" uri="{B97F6D7D-B522-45F9-BDA1-12C45D357490}">
          <x15:cacheHierarchy aggregatedColumn="0"/>
        </ext>
      </extLst>
    </cacheHierarchy>
    <cacheHierarchy uniqueName="[Measures].[Count of BMI Category]" caption="Count of BMI Category" measure="1" displayFolder="" measureGroup="Table1" count="0">
      <extLst>
        <ext xmlns:x15="http://schemas.microsoft.com/office/spreadsheetml/2010/11/main" uri="{B97F6D7D-B522-45F9-BDA1-12C45D357490}">
          <x15:cacheHierarchy aggregatedColumn="6"/>
        </ext>
      </extLst>
    </cacheHierarchy>
    <cacheHierarchy uniqueName="[Measures].[Sum of BMI]" caption="Sum of BMI" measure="1" displayFolder="" measureGroup="Table1" count="0">
      <extLst>
        <ext xmlns:x15="http://schemas.microsoft.com/office/spreadsheetml/2010/11/main" uri="{B97F6D7D-B522-45F9-BDA1-12C45D357490}">
          <x15:cacheHierarchy aggregatedColumn="7"/>
        </ext>
      </extLst>
    </cacheHierarchy>
    <cacheHierarchy uniqueName="[Measures].[Count of BMI]" caption="Count of BMI" measure="1" displayFolder="" measureGroup="Table1" count="0">
      <extLst>
        <ext xmlns:x15="http://schemas.microsoft.com/office/spreadsheetml/2010/11/main" uri="{B97F6D7D-B522-45F9-BDA1-12C45D357490}">
          <x15:cacheHierarchy aggregatedColumn="7"/>
        </ext>
      </extLst>
    </cacheHierarchy>
    <cacheHierarchy uniqueName="[Measures].[Count of Glucose Category]" caption="Count of Glucose Category" measure="1" displayFolder="" measureGroup="Table1" count="0">
      <extLst>
        <ext xmlns:x15="http://schemas.microsoft.com/office/spreadsheetml/2010/11/main" uri="{B97F6D7D-B522-45F9-BDA1-12C45D357490}">
          <x15:cacheHierarchy aggregatedColumn="1"/>
        </ext>
      </extLst>
    </cacheHierarchy>
    <cacheHierarchy uniqueName="[Measures].[Avg Glucose Level]" caption="Avg Glucose Level" measure="1" displayFolder="" measureGroup="Table1" count="0"/>
    <cacheHierarchy uniqueName="[Measures].[Avg BMI]" caption="Avg BMI" measure="1" displayFolder="" measureGroup="Table1" count="0" oneField="1">
      <fieldsUsage count="1">
        <fieldUsage x="0"/>
      </fieldsUsage>
    </cacheHierarchy>
    <cacheHierarchy uniqueName="[Measures].[Avg Age]" caption="Avg Age" measure="1" displayFolder="" measureGroup="Table1" count="0"/>
    <cacheHierarchy uniqueName="[Measures].[Total Patients]" caption="Total Patients" measure="1" displayFolder="" measureGroup="Table1" count="0"/>
    <cacheHierarchy uniqueName="[Measures].[Total Diabetic Patients]" caption="Total Diabetic Patients" measure="1" displayFolder="" measureGroup="Table1" count="0"/>
    <cacheHierarchy uniqueName="[Measures].[Total Non-Diabetic Patients]" caption="Total Non-Diabetic Patients" measure="1" displayFolder="" measureGroup="Table1" count="0"/>
    <cacheHierarchy uniqueName="[Measures].[Diabetes Rate % ]" caption="Diabetes Rate % " measure="1" displayFolder="" measureGroup="Table1" count="0"/>
    <cacheHierarchy uniqueName="[Measures].[High Glucose Patients (&gt;140)]" caption="High Glucose Patients (&gt;140)" measure="1" displayFolder="" measureGroup="Table1" count="0"/>
    <cacheHierarchy uniqueName="[Measures].[Obese Patients (BMI ≥ 30)]" caption="Obese Patients (BMI ≥ 30)" measure="1" displayFolder="" measureGroup="Table1" count="0"/>
    <cacheHierarchy uniqueName="[Measures].[Avg Pregnancies]" caption="Avg Pregnancies" measure="1" displayFolder="" measureGroup="Table1" count="0"/>
    <cacheHierarchy uniqueName="[Measures].[Pregnant Patients]" caption="Pregnant Patients" measure="1" displayFolder="" measureGroup="Table1" count="0"/>
    <cacheHierarchy uniqueName="[Measures].[Non-Pregnant Patients]" caption="Non-Pregnant Patients" measure="1" displayFolder="" measureGroup="Table1" count="0"/>
    <cacheHierarchy uniqueName="[Measures].[TotalPregnantPatients]" caption="TotalPregnantPatients" measure="1" displayFolder="" measureGroup="Table1" count="0"/>
    <cacheHierarchy uniqueName="[Measures].[Pregnant Diabetic Patients]" caption="Pregnant Diabetic Patients" measure="1" displayFolder="" measureGroup="Table1" count="0"/>
    <cacheHierarchy uniqueName="[Measures].[Pregnant Non-Diabetic Patients]" caption="Pregnant Non-Diabetic Patients" measure="1" displayFolder="" measureGroup="Table1" count="0"/>
    <cacheHierarchy uniqueName="[Measures].[Young Patients (&lt;30)]" caption="Young Patients (&lt;30)" measure="1" displayFolder="" measureGroup="Table1" count="0"/>
    <cacheHierarchy uniqueName="[Measures].[Middle Age Patients(30–50)]" caption="Middle Age Patients(30–50)" measure="1" displayFolder="" measureGroup="Table1" count="0"/>
    <cacheHierarchy uniqueName="[Measures].[Older Patients (&gt;50)]" caption="Older Patients (&gt;50)" measure="1" displayFolder="" measureGroup="Table1" count="0"/>
    <cacheHierarchy uniqueName="[Measures].[Obese Diabetic]" caption="Obese Diabetic" measure="1" displayFolder="" measureGroup="Table1" count="0"/>
    <cacheHierarchy uniqueName="[Measures].[Avg Glucose]" caption="Avg Glucose" measure="1" displayFolder="" measureGroup="Table1" count="0"/>
    <cacheHierarchy uniqueName="[Measures].[Avg Blood Pressure]" caption="Avg Blood Pressure" measure="1" displayFolder="" measureGroup="Table1" count="0"/>
    <cacheHierarchy uniqueName="[Measures].[Avg Insulin]" caption="Avg Insul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189.92025023148" createdVersion="5" refreshedVersion="8" minRefreshableVersion="3" recordCount="0" supportSubquery="1" supportAdvancedDrill="1" xr:uid="{6FAD54DA-55A6-4707-8D7C-564B3CF1DD02}">
  <cacheSource type="external" connectionId="1"/>
  <cacheFields count="3">
    <cacheField name="[Table1].[Outcome].[Outcome]" caption="Outcome" numFmtId="0" hierarchy="1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Outcome].&amp;[0]"/>
            <x15:cachedUniqueName index="1" name="[Table1].[Outcome].&amp;[1]"/>
          </x15:cachedUniqueNames>
        </ext>
      </extLst>
    </cacheField>
    <cacheField name="[Measures].[Avg Glucose]" caption="Avg Glucose" numFmtId="0" hierarchy="47" level="32767"/>
    <cacheField name="[Table1].[Age Group].[Age Group]" caption="Age Group" numFmtId="0" hierarchy="9" level="1">
      <sharedItems containsSemiMixedTypes="0" containsNonDate="0" containsString="0"/>
    </cacheField>
  </cacheFields>
  <cacheHierarchies count="52">
    <cacheHierarchy uniqueName="[Table1].[Pregnancies]" caption="Pregnancies" attribute="1" defaultMemberUniqueName="[Table1].[Pregnancies].[All]" allUniqueName="[Table1].[Pregnancies].[All]" dimensionUniqueName="[Table1]" displayFolder="" count="0" memberValueDatatype="20" unbalanced="0"/>
    <cacheHierarchy uniqueName="[Table1].[Glucose Category]" caption="Glucose Category" attribute="1" defaultMemberUniqueName="[Table1].[Glucose Category].[All]" allUniqueName="[Table1].[Glucose Category].[All]" dimensionUniqueName="[Table1]" displayFolder="" count="2" memberValueDatatype="130" unbalanced="0"/>
    <cacheHierarchy uniqueName="[Table1].[Glucose]" caption="Glucose" attribute="1" defaultMemberUniqueName="[Table1].[Glucose].[All]" allUniqueName="[Table1].[Glucose].[All]" dimensionUniqueName="[Table1]" displayFolder="" count="0" memberValueDatatype="20" unbalanced="0"/>
    <cacheHierarchy uniqueName="[Table1].[BloodPressure]" caption="BloodPressure" attribute="1" defaultMemberUniqueName="[Table1].[BloodPressure].[All]" allUniqueName="[Table1].[BloodPressure].[All]" dimensionUniqueName="[Table1]" displayFolder="" count="0" memberValueDatatype="20" unbalanced="0"/>
    <cacheHierarchy uniqueName="[Table1].[SkinThickness]" caption="SkinThickness" attribute="1" defaultMemberUniqueName="[Table1].[SkinThickness].[All]" allUniqueName="[Table1].[SkinThickness].[All]" dimensionUniqueName="[Table1]" displayFolder="" count="0" memberValueDatatype="20" unbalanced="0"/>
    <cacheHierarchy uniqueName="[Table1].[Insulin]" caption="Insulin" attribute="1" defaultMemberUniqueName="[Table1].[Insulin].[All]" allUniqueName="[Table1].[Insulin].[All]" dimensionUniqueName="[Table1]" displayFolder="" count="0" memberValueDatatype="20" unbalanced="0"/>
    <cacheHierarchy uniqueName="[Table1].[BMI Category]" caption="BMI Category" attribute="1" defaultMemberUniqueName="[Table1].[BMI Category].[All]" allUniqueName="[Table1].[BMI Category].[All]" dimensionUniqueName="[Table1]" displayFolder="" count="2" memberValueDatatype="130" unbalanced="0"/>
    <cacheHierarchy uniqueName="[Table1].[BMI]" caption="BMI" attribute="1" defaultMemberUniqueName="[Table1].[BMI].[All]" allUniqueName="[Table1].[BMI].[All]" dimensionUniqueName="[Table1]" displayFolder="" count="0" memberValueDatatype="5" unbalanced="0"/>
    <cacheHierarchy uniqueName="[Table1].[DiabetesPedigreeFunction]" caption="DiabetesPedigreeFunction" attribute="1" defaultMemberUniqueName="[Table1].[DiabetesPedigreeFunction].[All]" allUniqueName="[Table1].[DiabetesPedigreeFunction].[All]" dimensionUniqueName="[Table1]" displayFolder="" count="0" memberValueDatatype="5"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Outcome]" caption="Outcome" attribute="1" defaultMemberUniqueName="[Table1].[Outcome].[All]" allUniqueName="[Table1].[Outcome].[All]" dimensionUniqueName="[Table1]" displayFolder="" count="2" memberValueDatatype="20" unbalanced="0">
      <fieldsUsage count="2">
        <fieldUsage x="-1"/>
        <fieldUsage x="0"/>
      </fieldsUsage>
    </cacheHierarchy>
    <cacheHierarchy uniqueName="[Measures].[Sum of Glucose]" caption="Sum of Glucose" measure="1" displayFolder="" measureGroup="Table1" count="0">
      <extLst>
        <ext xmlns:x15="http://schemas.microsoft.com/office/spreadsheetml/2010/11/main" uri="{B97F6D7D-B522-45F9-BDA1-12C45D357490}">
          <x15:cacheHierarchy aggregatedColumn="2"/>
        </ext>
      </extLst>
    </cacheHierarchy>
    <cacheHierarchy uniqueName="[Measures].[Min of Glucose]" caption="Min of Glucose" measure="1" displayFolder="" measureGroup="Table1" count="0">
      <extLst>
        <ext xmlns:x15="http://schemas.microsoft.com/office/spreadsheetml/2010/11/main" uri="{B97F6D7D-B522-45F9-BDA1-12C45D357490}">
          <x15:cacheHierarchy aggregatedColumn="2"/>
        </ext>
      </extLst>
    </cacheHierarchy>
    <cacheHierarchy uniqueName="[Measures].[Max of Glucose]" caption="Max of Glucose" measure="1" displayFolder="" measureGroup="Table1" count="0">
      <extLst>
        <ext xmlns:x15="http://schemas.microsoft.com/office/spreadsheetml/2010/11/main" uri="{B97F6D7D-B522-45F9-BDA1-12C45D357490}">
          <x15:cacheHierarchy aggregatedColumn="2"/>
        </ext>
      </extLst>
    </cacheHierarchy>
    <cacheHierarchy uniqueName="[Measures].[Count of Glucose]" caption="Count of Glucose" measure="1" displayFolder="" measureGroup="Table1" count="0">
      <extLst>
        <ext xmlns:x15="http://schemas.microsoft.com/office/spreadsheetml/2010/11/main" uri="{B97F6D7D-B522-45F9-BDA1-12C45D357490}">
          <x15:cacheHierarchy aggregatedColumn="2"/>
        </ext>
      </extLst>
    </cacheHierarchy>
    <cacheHierarchy uniqueName="[Measures].[Distinct Count of Glucose]" caption="Distinct Count of Glucose" measure="1" displayFolder="" measureGroup="Table1" count="0">
      <extLst>
        <ext xmlns:x15="http://schemas.microsoft.com/office/spreadsheetml/2010/11/main" uri="{B97F6D7D-B522-45F9-BDA1-12C45D357490}">
          <x15:cacheHierarchy aggregatedColumn="2"/>
        </ext>
      </extLst>
    </cacheHierarchy>
    <cacheHierarchy uniqueName="[Measures].[Average of Glucose]" caption="Average of Glucose" measure="1" displayFolder="" measureGroup="Table1" count="0">
      <extLst>
        <ext xmlns:x15="http://schemas.microsoft.com/office/spreadsheetml/2010/11/main" uri="{B97F6D7D-B522-45F9-BDA1-12C45D357490}">
          <x15:cacheHierarchy aggregatedColumn="2"/>
        </ext>
      </extLst>
    </cacheHierarchy>
    <cacheHierarchy uniqueName="[Measures].[Sum of Outcome]" caption="Sum of Outcome" measure="1" displayFolder="" measureGroup="Table1" count="0">
      <extLst>
        <ext xmlns:x15="http://schemas.microsoft.com/office/spreadsheetml/2010/11/main" uri="{B97F6D7D-B522-45F9-BDA1-12C45D357490}">
          <x15:cacheHierarchy aggregatedColumn="11"/>
        </ext>
      </extLst>
    </cacheHierarchy>
    <cacheHierarchy uniqueName="[Measures].[Count of Outcome]" caption="Count of Outcome" measure="1" displayFolder="" measureGroup="Table1" count="0">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extLst>
        <ext xmlns:x15="http://schemas.microsoft.com/office/spreadsheetml/2010/11/main" uri="{B97F6D7D-B522-45F9-BDA1-12C45D357490}">
          <x15:cacheHierarchy aggregatedColumn="9"/>
        </ext>
      </extLst>
    </cacheHierarchy>
    <cacheHierarchy uniqueName="[Measures].[Average of Outcome]" caption="Average of Outcome" measure="1" displayFolder="" measureGroup="Table1" count="0">
      <extLst>
        <ext xmlns:x15="http://schemas.microsoft.com/office/spreadsheetml/2010/11/main" uri="{B97F6D7D-B522-45F9-BDA1-12C45D357490}">
          <x15:cacheHierarchy aggregatedColumn="11"/>
        </ext>
      </extLst>
    </cacheHierarchy>
    <cacheHierarchy uniqueName="[Measures].[Sum of Pregnancies]" caption="Sum of Pregnancies" measure="1" displayFolder="" measureGroup="Table1" count="0">
      <extLst>
        <ext xmlns:x15="http://schemas.microsoft.com/office/spreadsheetml/2010/11/main" uri="{B97F6D7D-B522-45F9-BDA1-12C45D357490}">
          <x15:cacheHierarchy aggregatedColumn="0"/>
        </ext>
      </extLst>
    </cacheHierarchy>
    <cacheHierarchy uniqueName="[Measures].[Count of Pregnancies]" caption="Count of Pregnancies" measure="1" displayFolder="" measureGroup="Table1" count="0">
      <extLst>
        <ext xmlns:x15="http://schemas.microsoft.com/office/spreadsheetml/2010/11/main" uri="{B97F6D7D-B522-45F9-BDA1-12C45D357490}">
          <x15:cacheHierarchy aggregatedColumn="0"/>
        </ext>
      </extLst>
    </cacheHierarchy>
    <cacheHierarchy uniqueName="[Measures].[Count of BMI Category]" caption="Count of BMI Category" measure="1" displayFolder="" measureGroup="Table1" count="0">
      <extLst>
        <ext xmlns:x15="http://schemas.microsoft.com/office/spreadsheetml/2010/11/main" uri="{B97F6D7D-B522-45F9-BDA1-12C45D357490}">
          <x15:cacheHierarchy aggregatedColumn="6"/>
        </ext>
      </extLst>
    </cacheHierarchy>
    <cacheHierarchy uniqueName="[Measures].[Sum of BMI]" caption="Sum of BMI" measure="1" displayFolder="" measureGroup="Table1" count="0">
      <extLst>
        <ext xmlns:x15="http://schemas.microsoft.com/office/spreadsheetml/2010/11/main" uri="{B97F6D7D-B522-45F9-BDA1-12C45D357490}">
          <x15:cacheHierarchy aggregatedColumn="7"/>
        </ext>
      </extLst>
    </cacheHierarchy>
    <cacheHierarchy uniqueName="[Measures].[Count of BMI]" caption="Count of BMI" measure="1" displayFolder="" measureGroup="Table1" count="0">
      <extLst>
        <ext xmlns:x15="http://schemas.microsoft.com/office/spreadsheetml/2010/11/main" uri="{B97F6D7D-B522-45F9-BDA1-12C45D357490}">
          <x15:cacheHierarchy aggregatedColumn="7"/>
        </ext>
      </extLst>
    </cacheHierarchy>
    <cacheHierarchy uniqueName="[Measures].[Count of Glucose Category]" caption="Count of Glucose Category" measure="1" displayFolder="" measureGroup="Table1" count="0">
      <extLst>
        <ext xmlns:x15="http://schemas.microsoft.com/office/spreadsheetml/2010/11/main" uri="{B97F6D7D-B522-45F9-BDA1-12C45D357490}">
          <x15:cacheHierarchy aggregatedColumn="1"/>
        </ext>
      </extLst>
    </cacheHierarchy>
    <cacheHierarchy uniqueName="[Measures].[Avg Glucose Level]" caption="Avg Glucose Level" measure="1" displayFolder="" measureGroup="Table1" count="0"/>
    <cacheHierarchy uniqueName="[Measures].[Avg BMI]" caption="Avg BMI" measure="1" displayFolder="" measureGroup="Table1" count="0"/>
    <cacheHierarchy uniqueName="[Measures].[Avg Age]" caption="Avg Age" measure="1" displayFolder="" measureGroup="Table1" count="0"/>
    <cacheHierarchy uniqueName="[Measures].[Total Patients]" caption="Total Patients" measure="1" displayFolder="" measureGroup="Table1" count="0"/>
    <cacheHierarchy uniqueName="[Measures].[Total Diabetic Patients]" caption="Total Diabetic Patients" measure="1" displayFolder="" measureGroup="Table1" count="0"/>
    <cacheHierarchy uniqueName="[Measures].[Total Non-Diabetic Patients]" caption="Total Non-Diabetic Patients" measure="1" displayFolder="" measureGroup="Table1" count="0"/>
    <cacheHierarchy uniqueName="[Measures].[Diabetes Rate % ]" caption="Diabetes Rate % " measure="1" displayFolder="" measureGroup="Table1" count="0"/>
    <cacheHierarchy uniqueName="[Measures].[High Glucose Patients (&gt;140)]" caption="High Glucose Patients (&gt;140)" measure="1" displayFolder="" measureGroup="Table1" count="0"/>
    <cacheHierarchy uniqueName="[Measures].[Obese Patients (BMI ≥ 30)]" caption="Obese Patients (BMI ≥ 30)" measure="1" displayFolder="" measureGroup="Table1" count="0"/>
    <cacheHierarchy uniqueName="[Measures].[Avg Pregnancies]" caption="Avg Pregnancies" measure="1" displayFolder="" measureGroup="Table1" count="0"/>
    <cacheHierarchy uniqueName="[Measures].[Pregnant Patients]" caption="Pregnant Patients" measure="1" displayFolder="" measureGroup="Table1" count="0"/>
    <cacheHierarchy uniqueName="[Measures].[Non-Pregnant Patients]" caption="Non-Pregnant Patients" measure="1" displayFolder="" measureGroup="Table1" count="0"/>
    <cacheHierarchy uniqueName="[Measures].[TotalPregnantPatients]" caption="TotalPregnantPatients" measure="1" displayFolder="" measureGroup="Table1" count="0"/>
    <cacheHierarchy uniqueName="[Measures].[Pregnant Diabetic Patients]" caption="Pregnant Diabetic Patients" measure="1" displayFolder="" measureGroup="Table1" count="0"/>
    <cacheHierarchy uniqueName="[Measures].[Pregnant Non-Diabetic Patients]" caption="Pregnant Non-Diabetic Patients" measure="1" displayFolder="" measureGroup="Table1" count="0"/>
    <cacheHierarchy uniqueName="[Measures].[Young Patients (&lt;30)]" caption="Young Patients (&lt;30)" measure="1" displayFolder="" measureGroup="Table1" count="0"/>
    <cacheHierarchy uniqueName="[Measures].[Middle Age Patients(30–50)]" caption="Middle Age Patients(30–50)" measure="1" displayFolder="" measureGroup="Table1" count="0"/>
    <cacheHierarchy uniqueName="[Measures].[Older Patients (&gt;50)]" caption="Older Patients (&gt;50)" measure="1" displayFolder="" measureGroup="Table1" count="0"/>
    <cacheHierarchy uniqueName="[Measures].[Obese Diabetic]" caption="Obese Diabetic" measure="1" displayFolder="" measureGroup="Table1" count="0"/>
    <cacheHierarchy uniqueName="[Measures].[Avg Glucose]" caption="Avg Glucose" measure="1" displayFolder="" measureGroup="Table1" count="0" oneField="1">
      <fieldsUsage count="1">
        <fieldUsage x="1"/>
      </fieldsUsage>
    </cacheHierarchy>
    <cacheHierarchy uniqueName="[Measures].[Avg Blood Pressure]" caption="Avg Blood Pressure" measure="1" displayFolder="" measureGroup="Table1" count="0"/>
    <cacheHierarchy uniqueName="[Measures].[Avg Insulin]" caption="Avg Insul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189.920250694442" createdVersion="5" refreshedVersion="8" minRefreshableVersion="3" recordCount="0" supportSubquery="1" supportAdvancedDrill="1" xr:uid="{4D3F8A16-9610-44A5-BD91-4D96DC2639F5}">
  <cacheSource type="external" connectionId="1"/>
  <cacheFields count="3">
    <cacheField name="[Table1].[Outcome].[Outcome]" caption="Outcome" numFmtId="0" hierarchy="1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1].[Outcome].&amp;[0]"/>
            <x15:cachedUniqueName index="1" name="[Table1].[Outcome].&amp;[1]"/>
          </x15:cachedUniqueNames>
        </ext>
      </extLst>
    </cacheField>
    <cacheField name="[Measures].[Avg Insulin]" caption="Avg Insulin" numFmtId="0" hierarchy="49" level="32767"/>
    <cacheField name="[Table1].[Age Group].[Age Group]" caption="Age Group" numFmtId="0" hierarchy="9" level="1">
      <sharedItems containsSemiMixedTypes="0" containsNonDate="0" containsString="0"/>
    </cacheField>
  </cacheFields>
  <cacheHierarchies count="52">
    <cacheHierarchy uniqueName="[Table1].[Pregnancies]" caption="Pregnancies" attribute="1" defaultMemberUniqueName="[Table1].[Pregnancies].[All]" allUniqueName="[Table1].[Pregnancies].[All]" dimensionUniqueName="[Table1]" displayFolder="" count="0" memberValueDatatype="20" unbalanced="0"/>
    <cacheHierarchy uniqueName="[Table1].[Glucose Category]" caption="Glucose Category" attribute="1" defaultMemberUniqueName="[Table1].[Glucose Category].[All]" allUniqueName="[Table1].[Glucose Category].[All]" dimensionUniqueName="[Table1]" displayFolder="" count="2" memberValueDatatype="130" unbalanced="0"/>
    <cacheHierarchy uniqueName="[Table1].[Glucose]" caption="Glucose" attribute="1" defaultMemberUniqueName="[Table1].[Glucose].[All]" allUniqueName="[Table1].[Glucose].[All]" dimensionUniqueName="[Table1]" displayFolder="" count="0" memberValueDatatype="20" unbalanced="0"/>
    <cacheHierarchy uniqueName="[Table1].[BloodPressure]" caption="BloodPressure" attribute="1" defaultMemberUniqueName="[Table1].[BloodPressure].[All]" allUniqueName="[Table1].[BloodPressure].[All]" dimensionUniqueName="[Table1]" displayFolder="" count="0" memberValueDatatype="20" unbalanced="0"/>
    <cacheHierarchy uniqueName="[Table1].[SkinThickness]" caption="SkinThickness" attribute="1" defaultMemberUniqueName="[Table1].[SkinThickness].[All]" allUniqueName="[Table1].[SkinThickness].[All]" dimensionUniqueName="[Table1]" displayFolder="" count="0" memberValueDatatype="20" unbalanced="0"/>
    <cacheHierarchy uniqueName="[Table1].[Insulin]" caption="Insulin" attribute="1" defaultMemberUniqueName="[Table1].[Insulin].[All]" allUniqueName="[Table1].[Insulin].[All]" dimensionUniqueName="[Table1]" displayFolder="" count="0" memberValueDatatype="20" unbalanced="0"/>
    <cacheHierarchy uniqueName="[Table1].[BMI Category]" caption="BMI Category" attribute="1" defaultMemberUniqueName="[Table1].[BMI Category].[All]" allUniqueName="[Table1].[BMI Category].[All]" dimensionUniqueName="[Table1]" displayFolder="" count="2" memberValueDatatype="130" unbalanced="0"/>
    <cacheHierarchy uniqueName="[Table1].[BMI]" caption="BMI" attribute="1" defaultMemberUniqueName="[Table1].[BMI].[All]" allUniqueName="[Table1].[BMI].[All]" dimensionUniqueName="[Table1]" displayFolder="" count="0" memberValueDatatype="5" unbalanced="0"/>
    <cacheHierarchy uniqueName="[Table1].[DiabetesPedigreeFunction]" caption="DiabetesPedigreeFunction" attribute="1" defaultMemberUniqueName="[Table1].[DiabetesPedigreeFunction].[All]" allUniqueName="[Table1].[DiabetesPedigreeFunction].[All]" dimensionUniqueName="[Table1]" displayFolder="" count="0" memberValueDatatype="5"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Outcome]" caption="Outcome" attribute="1" defaultMemberUniqueName="[Table1].[Outcome].[All]" allUniqueName="[Table1].[Outcome].[All]" dimensionUniqueName="[Table1]" displayFolder="" count="2" memberValueDatatype="20" unbalanced="0">
      <fieldsUsage count="2">
        <fieldUsage x="-1"/>
        <fieldUsage x="0"/>
      </fieldsUsage>
    </cacheHierarchy>
    <cacheHierarchy uniqueName="[Measures].[Sum of Glucose]" caption="Sum of Glucose" measure="1" displayFolder="" measureGroup="Table1" count="0">
      <extLst>
        <ext xmlns:x15="http://schemas.microsoft.com/office/spreadsheetml/2010/11/main" uri="{B97F6D7D-B522-45F9-BDA1-12C45D357490}">
          <x15:cacheHierarchy aggregatedColumn="2"/>
        </ext>
      </extLst>
    </cacheHierarchy>
    <cacheHierarchy uniqueName="[Measures].[Min of Glucose]" caption="Min of Glucose" measure="1" displayFolder="" measureGroup="Table1" count="0">
      <extLst>
        <ext xmlns:x15="http://schemas.microsoft.com/office/spreadsheetml/2010/11/main" uri="{B97F6D7D-B522-45F9-BDA1-12C45D357490}">
          <x15:cacheHierarchy aggregatedColumn="2"/>
        </ext>
      </extLst>
    </cacheHierarchy>
    <cacheHierarchy uniqueName="[Measures].[Max of Glucose]" caption="Max of Glucose" measure="1" displayFolder="" measureGroup="Table1" count="0">
      <extLst>
        <ext xmlns:x15="http://schemas.microsoft.com/office/spreadsheetml/2010/11/main" uri="{B97F6D7D-B522-45F9-BDA1-12C45D357490}">
          <x15:cacheHierarchy aggregatedColumn="2"/>
        </ext>
      </extLst>
    </cacheHierarchy>
    <cacheHierarchy uniqueName="[Measures].[Count of Glucose]" caption="Count of Glucose" measure="1" displayFolder="" measureGroup="Table1" count="0">
      <extLst>
        <ext xmlns:x15="http://schemas.microsoft.com/office/spreadsheetml/2010/11/main" uri="{B97F6D7D-B522-45F9-BDA1-12C45D357490}">
          <x15:cacheHierarchy aggregatedColumn="2"/>
        </ext>
      </extLst>
    </cacheHierarchy>
    <cacheHierarchy uniqueName="[Measures].[Distinct Count of Glucose]" caption="Distinct Count of Glucose" measure="1" displayFolder="" measureGroup="Table1" count="0">
      <extLst>
        <ext xmlns:x15="http://schemas.microsoft.com/office/spreadsheetml/2010/11/main" uri="{B97F6D7D-B522-45F9-BDA1-12C45D357490}">
          <x15:cacheHierarchy aggregatedColumn="2"/>
        </ext>
      </extLst>
    </cacheHierarchy>
    <cacheHierarchy uniqueName="[Measures].[Average of Glucose]" caption="Average of Glucose" measure="1" displayFolder="" measureGroup="Table1" count="0">
      <extLst>
        <ext xmlns:x15="http://schemas.microsoft.com/office/spreadsheetml/2010/11/main" uri="{B97F6D7D-B522-45F9-BDA1-12C45D357490}">
          <x15:cacheHierarchy aggregatedColumn="2"/>
        </ext>
      </extLst>
    </cacheHierarchy>
    <cacheHierarchy uniqueName="[Measures].[Sum of Outcome]" caption="Sum of Outcome" measure="1" displayFolder="" measureGroup="Table1" count="0">
      <extLst>
        <ext xmlns:x15="http://schemas.microsoft.com/office/spreadsheetml/2010/11/main" uri="{B97F6D7D-B522-45F9-BDA1-12C45D357490}">
          <x15:cacheHierarchy aggregatedColumn="11"/>
        </ext>
      </extLst>
    </cacheHierarchy>
    <cacheHierarchy uniqueName="[Measures].[Count of Outcome]" caption="Count of Outcome" measure="1" displayFolder="" measureGroup="Table1" count="0">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extLst>
        <ext xmlns:x15="http://schemas.microsoft.com/office/spreadsheetml/2010/11/main" uri="{B97F6D7D-B522-45F9-BDA1-12C45D357490}">
          <x15:cacheHierarchy aggregatedColumn="9"/>
        </ext>
      </extLst>
    </cacheHierarchy>
    <cacheHierarchy uniqueName="[Measures].[Average of Outcome]" caption="Average of Outcome" measure="1" displayFolder="" measureGroup="Table1" count="0">
      <extLst>
        <ext xmlns:x15="http://schemas.microsoft.com/office/spreadsheetml/2010/11/main" uri="{B97F6D7D-B522-45F9-BDA1-12C45D357490}">
          <x15:cacheHierarchy aggregatedColumn="11"/>
        </ext>
      </extLst>
    </cacheHierarchy>
    <cacheHierarchy uniqueName="[Measures].[Sum of Pregnancies]" caption="Sum of Pregnancies" measure="1" displayFolder="" measureGroup="Table1" count="0">
      <extLst>
        <ext xmlns:x15="http://schemas.microsoft.com/office/spreadsheetml/2010/11/main" uri="{B97F6D7D-B522-45F9-BDA1-12C45D357490}">
          <x15:cacheHierarchy aggregatedColumn="0"/>
        </ext>
      </extLst>
    </cacheHierarchy>
    <cacheHierarchy uniqueName="[Measures].[Count of Pregnancies]" caption="Count of Pregnancies" measure="1" displayFolder="" measureGroup="Table1" count="0">
      <extLst>
        <ext xmlns:x15="http://schemas.microsoft.com/office/spreadsheetml/2010/11/main" uri="{B97F6D7D-B522-45F9-BDA1-12C45D357490}">
          <x15:cacheHierarchy aggregatedColumn="0"/>
        </ext>
      </extLst>
    </cacheHierarchy>
    <cacheHierarchy uniqueName="[Measures].[Count of BMI Category]" caption="Count of BMI Category" measure="1" displayFolder="" measureGroup="Table1" count="0">
      <extLst>
        <ext xmlns:x15="http://schemas.microsoft.com/office/spreadsheetml/2010/11/main" uri="{B97F6D7D-B522-45F9-BDA1-12C45D357490}">
          <x15:cacheHierarchy aggregatedColumn="6"/>
        </ext>
      </extLst>
    </cacheHierarchy>
    <cacheHierarchy uniqueName="[Measures].[Sum of BMI]" caption="Sum of BMI" measure="1" displayFolder="" measureGroup="Table1" count="0">
      <extLst>
        <ext xmlns:x15="http://schemas.microsoft.com/office/spreadsheetml/2010/11/main" uri="{B97F6D7D-B522-45F9-BDA1-12C45D357490}">
          <x15:cacheHierarchy aggregatedColumn="7"/>
        </ext>
      </extLst>
    </cacheHierarchy>
    <cacheHierarchy uniqueName="[Measures].[Count of BMI]" caption="Count of BMI" measure="1" displayFolder="" measureGroup="Table1" count="0">
      <extLst>
        <ext xmlns:x15="http://schemas.microsoft.com/office/spreadsheetml/2010/11/main" uri="{B97F6D7D-B522-45F9-BDA1-12C45D357490}">
          <x15:cacheHierarchy aggregatedColumn="7"/>
        </ext>
      </extLst>
    </cacheHierarchy>
    <cacheHierarchy uniqueName="[Measures].[Count of Glucose Category]" caption="Count of Glucose Category" measure="1" displayFolder="" measureGroup="Table1" count="0">
      <extLst>
        <ext xmlns:x15="http://schemas.microsoft.com/office/spreadsheetml/2010/11/main" uri="{B97F6D7D-B522-45F9-BDA1-12C45D357490}">
          <x15:cacheHierarchy aggregatedColumn="1"/>
        </ext>
      </extLst>
    </cacheHierarchy>
    <cacheHierarchy uniqueName="[Measures].[Avg Glucose Level]" caption="Avg Glucose Level" measure="1" displayFolder="" measureGroup="Table1" count="0"/>
    <cacheHierarchy uniqueName="[Measures].[Avg BMI]" caption="Avg BMI" measure="1" displayFolder="" measureGroup="Table1" count="0"/>
    <cacheHierarchy uniqueName="[Measures].[Avg Age]" caption="Avg Age" measure="1" displayFolder="" measureGroup="Table1" count="0"/>
    <cacheHierarchy uniqueName="[Measures].[Total Patients]" caption="Total Patients" measure="1" displayFolder="" measureGroup="Table1" count="0"/>
    <cacheHierarchy uniqueName="[Measures].[Total Diabetic Patients]" caption="Total Diabetic Patients" measure="1" displayFolder="" measureGroup="Table1" count="0"/>
    <cacheHierarchy uniqueName="[Measures].[Total Non-Diabetic Patients]" caption="Total Non-Diabetic Patients" measure="1" displayFolder="" measureGroup="Table1" count="0"/>
    <cacheHierarchy uniqueName="[Measures].[Diabetes Rate % ]" caption="Diabetes Rate % " measure="1" displayFolder="" measureGroup="Table1" count="0"/>
    <cacheHierarchy uniqueName="[Measures].[High Glucose Patients (&gt;140)]" caption="High Glucose Patients (&gt;140)" measure="1" displayFolder="" measureGroup="Table1" count="0"/>
    <cacheHierarchy uniqueName="[Measures].[Obese Patients (BMI ≥ 30)]" caption="Obese Patients (BMI ≥ 30)" measure="1" displayFolder="" measureGroup="Table1" count="0"/>
    <cacheHierarchy uniqueName="[Measures].[Avg Pregnancies]" caption="Avg Pregnancies" measure="1" displayFolder="" measureGroup="Table1" count="0"/>
    <cacheHierarchy uniqueName="[Measures].[Pregnant Patients]" caption="Pregnant Patients" measure="1" displayFolder="" measureGroup="Table1" count="0"/>
    <cacheHierarchy uniqueName="[Measures].[Non-Pregnant Patients]" caption="Non-Pregnant Patients" measure="1" displayFolder="" measureGroup="Table1" count="0"/>
    <cacheHierarchy uniqueName="[Measures].[TotalPregnantPatients]" caption="TotalPregnantPatients" measure="1" displayFolder="" measureGroup="Table1" count="0"/>
    <cacheHierarchy uniqueName="[Measures].[Pregnant Diabetic Patients]" caption="Pregnant Diabetic Patients" measure="1" displayFolder="" measureGroup="Table1" count="0"/>
    <cacheHierarchy uniqueName="[Measures].[Pregnant Non-Diabetic Patients]" caption="Pregnant Non-Diabetic Patients" measure="1" displayFolder="" measureGroup="Table1" count="0"/>
    <cacheHierarchy uniqueName="[Measures].[Young Patients (&lt;30)]" caption="Young Patients (&lt;30)" measure="1" displayFolder="" measureGroup="Table1" count="0"/>
    <cacheHierarchy uniqueName="[Measures].[Middle Age Patients(30–50)]" caption="Middle Age Patients(30–50)" measure="1" displayFolder="" measureGroup="Table1" count="0"/>
    <cacheHierarchy uniqueName="[Measures].[Older Patients (&gt;50)]" caption="Older Patients (&gt;50)" measure="1" displayFolder="" measureGroup="Table1" count="0"/>
    <cacheHierarchy uniqueName="[Measures].[Obese Diabetic]" caption="Obese Diabetic" measure="1" displayFolder="" measureGroup="Table1" count="0"/>
    <cacheHierarchy uniqueName="[Measures].[Avg Glucose]" caption="Avg Glucose" measure="1" displayFolder="" measureGroup="Table1" count="0"/>
    <cacheHierarchy uniqueName="[Measures].[Avg Blood Pressure]" caption="Avg Blood Pressure" measure="1" displayFolder="" measureGroup="Table1" count="0"/>
    <cacheHierarchy uniqueName="[Measures].[Avg Insulin]" caption="Avg Insulin"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189.906179398145" createdVersion="3" refreshedVersion="8" minRefreshableVersion="3" recordCount="0" supportSubquery="1" supportAdvancedDrill="1" xr:uid="{ED061C8E-CD30-438E-A66D-21DBBF6B644A}">
  <cacheSource type="external" connectionId="1">
    <extLst>
      <ext xmlns:x14="http://schemas.microsoft.com/office/spreadsheetml/2009/9/main" uri="{F057638F-6D5F-4e77-A914-E7F072B9BCA8}">
        <x14:sourceConnection name="ThisWorkbookDataModel"/>
      </ext>
    </extLst>
  </cacheSource>
  <cacheFields count="0"/>
  <cacheHierarchies count="52">
    <cacheHierarchy uniqueName="[Table1].[Pregnancies]" caption="Pregnancies" attribute="1" defaultMemberUniqueName="[Table1].[Pregnancies].[All]" allUniqueName="[Table1].[Pregnancies].[All]" dimensionUniqueName="[Table1]" displayFolder="" count="0" memberValueDatatype="20" unbalanced="0"/>
    <cacheHierarchy uniqueName="[Table1].[Glucose Category]" caption="Glucose Category" attribute="1" defaultMemberUniqueName="[Table1].[Glucose Category].[All]" allUniqueName="[Table1].[Glucose Category].[All]" dimensionUniqueName="[Table1]" displayFolder="" count="2" memberValueDatatype="130" unbalanced="0"/>
    <cacheHierarchy uniqueName="[Table1].[Glucose]" caption="Glucose" attribute="1" defaultMemberUniqueName="[Table1].[Glucose].[All]" allUniqueName="[Table1].[Glucose].[All]" dimensionUniqueName="[Table1]" displayFolder="" count="0" memberValueDatatype="20" unbalanced="0"/>
    <cacheHierarchy uniqueName="[Table1].[BloodPressure]" caption="BloodPressure" attribute="1" defaultMemberUniqueName="[Table1].[BloodPressure].[All]" allUniqueName="[Table1].[BloodPressure].[All]" dimensionUniqueName="[Table1]" displayFolder="" count="0" memberValueDatatype="20" unbalanced="0"/>
    <cacheHierarchy uniqueName="[Table1].[SkinThickness]" caption="SkinThickness" attribute="1" defaultMemberUniqueName="[Table1].[SkinThickness].[All]" allUniqueName="[Table1].[SkinThickness].[All]" dimensionUniqueName="[Table1]" displayFolder="" count="0" memberValueDatatype="20" unbalanced="0"/>
    <cacheHierarchy uniqueName="[Table1].[Insulin]" caption="Insulin" attribute="1" defaultMemberUniqueName="[Table1].[Insulin].[All]" allUniqueName="[Table1].[Insulin].[All]" dimensionUniqueName="[Table1]" displayFolder="" count="0" memberValueDatatype="20" unbalanced="0"/>
    <cacheHierarchy uniqueName="[Table1].[BMI Category]" caption="BMI Category" attribute="1" defaultMemberUniqueName="[Table1].[BMI Category].[All]" allUniqueName="[Table1].[BMI Category].[All]" dimensionUniqueName="[Table1]" displayFolder="" count="2" memberValueDatatype="130" unbalanced="0"/>
    <cacheHierarchy uniqueName="[Table1].[BMI]" caption="BMI" attribute="1" defaultMemberUniqueName="[Table1].[BMI].[All]" allUniqueName="[Table1].[BMI].[All]" dimensionUniqueName="[Table1]" displayFolder="" count="0" memberValueDatatype="5" unbalanced="0"/>
    <cacheHierarchy uniqueName="[Table1].[DiabetesPedigreeFunction]" caption="DiabetesPedigreeFunction" attribute="1" defaultMemberUniqueName="[Table1].[DiabetesPedigreeFunction].[All]" allUniqueName="[Table1].[DiabetesPedigreeFunction].[All]" dimensionUniqueName="[Table1]" displayFolder="" count="0" memberValueDatatype="5" unbalanced="0"/>
    <cacheHierarchy uniqueName="[Table1].[Age Group]" caption="Age Group" attribute="1" defaultMemberUniqueName="[Table1].[Age Group].[All]" allUniqueName="[Table1].[Age Group].[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Outcome]" caption="Outcome" attribute="1" defaultMemberUniqueName="[Table1].[Outcome].[All]" allUniqueName="[Table1].[Outcome].[All]" dimensionUniqueName="[Table1]" displayFolder="" count="0" memberValueDatatype="20" unbalanced="0"/>
    <cacheHierarchy uniqueName="[Measures].[Sum of Glucose]" caption="Sum of Glucose" measure="1" displayFolder="" measureGroup="Table1" count="0">
      <extLst>
        <ext xmlns:x15="http://schemas.microsoft.com/office/spreadsheetml/2010/11/main" uri="{B97F6D7D-B522-45F9-BDA1-12C45D357490}">
          <x15:cacheHierarchy aggregatedColumn="2"/>
        </ext>
      </extLst>
    </cacheHierarchy>
    <cacheHierarchy uniqueName="[Measures].[Min of Glucose]" caption="Min of Glucose" measure="1" displayFolder="" measureGroup="Table1" count="0">
      <extLst>
        <ext xmlns:x15="http://schemas.microsoft.com/office/spreadsheetml/2010/11/main" uri="{B97F6D7D-B522-45F9-BDA1-12C45D357490}">
          <x15:cacheHierarchy aggregatedColumn="2"/>
        </ext>
      </extLst>
    </cacheHierarchy>
    <cacheHierarchy uniqueName="[Measures].[Max of Glucose]" caption="Max of Glucose" measure="1" displayFolder="" measureGroup="Table1" count="0">
      <extLst>
        <ext xmlns:x15="http://schemas.microsoft.com/office/spreadsheetml/2010/11/main" uri="{B97F6D7D-B522-45F9-BDA1-12C45D357490}">
          <x15:cacheHierarchy aggregatedColumn="2"/>
        </ext>
      </extLst>
    </cacheHierarchy>
    <cacheHierarchy uniqueName="[Measures].[Count of Glucose]" caption="Count of Glucose" measure="1" displayFolder="" measureGroup="Table1" count="0">
      <extLst>
        <ext xmlns:x15="http://schemas.microsoft.com/office/spreadsheetml/2010/11/main" uri="{B97F6D7D-B522-45F9-BDA1-12C45D357490}">
          <x15:cacheHierarchy aggregatedColumn="2"/>
        </ext>
      </extLst>
    </cacheHierarchy>
    <cacheHierarchy uniqueName="[Measures].[Distinct Count of Glucose]" caption="Distinct Count of Glucose" measure="1" displayFolder="" measureGroup="Table1" count="0">
      <extLst>
        <ext xmlns:x15="http://schemas.microsoft.com/office/spreadsheetml/2010/11/main" uri="{B97F6D7D-B522-45F9-BDA1-12C45D357490}">
          <x15:cacheHierarchy aggregatedColumn="2"/>
        </ext>
      </extLst>
    </cacheHierarchy>
    <cacheHierarchy uniqueName="[Measures].[Average of Glucose]" caption="Average of Glucose" measure="1" displayFolder="" measureGroup="Table1" count="0">
      <extLst>
        <ext xmlns:x15="http://schemas.microsoft.com/office/spreadsheetml/2010/11/main" uri="{B97F6D7D-B522-45F9-BDA1-12C45D357490}">
          <x15:cacheHierarchy aggregatedColumn="2"/>
        </ext>
      </extLst>
    </cacheHierarchy>
    <cacheHierarchy uniqueName="[Measures].[Sum of Outcome]" caption="Sum of Outcome" measure="1" displayFolder="" measureGroup="Table1" count="0">
      <extLst>
        <ext xmlns:x15="http://schemas.microsoft.com/office/spreadsheetml/2010/11/main" uri="{B97F6D7D-B522-45F9-BDA1-12C45D357490}">
          <x15:cacheHierarchy aggregatedColumn="11"/>
        </ext>
      </extLst>
    </cacheHierarchy>
    <cacheHierarchy uniqueName="[Measures].[Count of Outcome]" caption="Count of Outcome" measure="1" displayFolder="" measureGroup="Table1" count="0">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extLst>
        <ext xmlns:x15="http://schemas.microsoft.com/office/spreadsheetml/2010/11/main" uri="{B97F6D7D-B522-45F9-BDA1-12C45D357490}">
          <x15:cacheHierarchy aggregatedColumn="9"/>
        </ext>
      </extLst>
    </cacheHierarchy>
    <cacheHierarchy uniqueName="[Measures].[Average of Outcome]" caption="Average of Outcome" measure="1" displayFolder="" measureGroup="Table1" count="0">
      <extLst>
        <ext xmlns:x15="http://schemas.microsoft.com/office/spreadsheetml/2010/11/main" uri="{B97F6D7D-B522-45F9-BDA1-12C45D357490}">
          <x15:cacheHierarchy aggregatedColumn="11"/>
        </ext>
      </extLst>
    </cacheHierarchy>
    <cacheHierarchy uniqueName="[Measures].[Sum of Pregnancies]" caption="Sum of Pregnancies" measure="1" displayFolder="" measureGroup="Table1" count="0">
      <extLst>
        <ext xmlns:x15="http://schemas.microsoft.com/office/spreadsheetml/2010/11/main" uri="{B97F6D7D-B522-45F9-BDA1-12C45D357490}">
          <x15:cacheHierarchy aggregatedColumn="0"/>
        </ext>
      </extLst>
    </cacheHierarchy>
    <cacheHierarchy uniqueName="[Measures].[Count of Pregnancies]" caption="Count of Pregnancies" measure="1" displayFolder="" measureGroup="Table1" count="0">
      <extLst>
        <ext xmlns:x15="http://schemas.microsoft.com/office/spreadsheetml/2010/11/main" uri="{B97F6D7D-B522-45F9-BDA1-12C45D357490}">
          <x15:cacheHierarchy aggregatedColumn="0"/>
        </ext>
      </extLst>
    </cacheHierarchy>
    <cacheHierarchy uniqueName="[Measures].[Count of BMI Category]" caption="Count of BMI Category" measure="1" displayFolder="" measureGroup="Table1" count="0">
      <extLst>
        <ext xmlns:x15="http://schemas.microsoft.com/office/spreadsheetml/2010/11/main" uri="{B97F6D7D-B522-45F9-BDA1-12C45D357490}">
          <x15:cacheHierarchy aggregatedColumn="6"/>
        </ext>
      </extLst>
    </cacheHierarchy>
    <cacheHierarchy uniqueName="[Measures].[Sum of BMI]" caption="Sum of BMI" measure="1" displayFolder="" measureGroup="Table1" count="0">
      <extLst>
        <ext xmlns:x15="http://schemas.microsoft.com/office/spreadsheetml/2010/11/main" uri="{B97F6D7D-B522-45F9-BDA1-12C45D357490}">
          <x15:cacheHierarchy aggregatedColumn="7"/>
        </ext>
      </extLst>
    </cacheHierarchy>
    <cacheHierarchy uniqueName="[Measures].[Count of BMI]" caption="Count of BMI" measure="1" displayFolder="" measureGroup="Table1" count="0">
      <extLst>
        <ext xmlns:x15="http://schemas.microsoft.com/office/spreadsheetml/2010/11/main" uri="{B97F6D7D-B522-45F9-BDA1-12C45D357490}">
          <x15:cacheHierarchy aggregatedColumn="7"/>
        </ext>
      </extLst>
    </cacheHierarchy>
    <cacheHierarchy uniqueName="[Measures].[Count of Glucose Category]" caption="Count of Glucose Category" measure="1" displayFolder="" measureGroup="Table1" count="0">
      <extLst>
        <ext xmlns:x15="http://schemas.microsoft.com/office/spreadsheetml/2010/11/main" uri="{B97F6D7D-B522-45F9-BDA1-12C45D357490}">
          <x15:cacheHierarchy aggregatedColumn="1"/>
        </ext>
      </extLst>
    </cacheHierarchy>
    <cacheHierarchy uniqueName="[Measures].[Avg Glucose Level]" caption="Avg Glucose Level" measure="1" displayFolder="" measureGroup="Table1" count="0"/>
    <cacheHierarchy uniqueName="[Measures].[Avg BMI]" caption="Avg BMI" measure="1" displayFolder="" measureGroup="Table1" count="0"/>
    <cacheHierarchy uniqueName="[Measures].[Avg Age]" caption="Avg Age" measure="1" displayFolder="" measureGroup="Table1" count="0"/>
    <cacheHierarchy uniqueName="[Measures].[Total Patients]" caption="Total Patients" measure="1" displayFolder="" measureGroup="Table1" count="0"/>
    <cacheHierarchy uniqueName="[Measures].[Total Diabetic Patients]" caption="Total Diabetic Patients" measure="1" displayFolder="" measureGroup="Table1" count="0"/>
    <cacheHierarchy uniqueName="[Measures].[Total Non-Diabetic Patients]" caption="Total Non-Diabetic Patients" measure="1" displayFolder="" measureGroup="Table1" count="0"/>
    <cacheHierarchy uniqueName="[Measures].[Diabetes Rate % ]" caption="Diabetes Rate % " measure="1" displayFolder="" measureGroup="Table1" count="0"/>
    <cacheHierarchy uniqueName="[Measures].[High Glucose Patients (&gt;140)]" caption="High Glucose Patients (&gt;140)" measure="1" displayFolder="" measureGroup="Table1" count="0"/>
    <cacheHierarchy uniqueName="[Measures].[Obese Patients (BMI ≥ 30)]" caption="Obese Patients (BMI ≥ 30)" measure="1" displayFolder="" measureGroup="Table1" count="0"/>
    <cacheHierarchy uniqueName="[Measures].[Avg Pregnancies]" caption="Avg Pregnancies" measure="1" displayFolder="" measureGroup="Table1" count="0"/>
    <cacheHierarchy uniqueName="[Measures].[Pregnant Patients]" caption="Pregnant Patients" measure="1" displayFolder="" measureGroup="Table1" count="0"/>
    <cacheHierarchy uniqueName="[Measures].[Non-Pregnant Patients]" caption="Non-Pregnant Patients" measure="1" displayFolder="" measureGroup="Table1" count="0"/>
    <cacheHierarchy uniqueName="[Measures].[TotalPregnantPatients]" caption="TotalPregnantPatients" measure="1" displayFolder="" measureGroup="Table1" count="0"/>
    <cacheHierarchy uniqueName="[Measures].[Pregnant Diabetic Patients]" caption="Pregnant Diabetic Patients" measure="1" displayFolder="" measureGroup="Table1" count="0"/>
    <cacheHierarchy uniqueName="[Measures].[Pregnant Non-Diabetic Patients]" caption="Pregnant Non-Diabetic Patients" measure="1" displayFolder="" measureGroup="Table1" count="0"/>
    <cacheHierarchy uniqueName="[Measures].[Young Patients (&lt;30)]" caption="Young Patients (&lt;30)" measure="1" displayFolder="" measureGroup="Table1" count="0"/>
    <cacheHierarchy uniqueName="[Measures].[Middle Age Patients(30–50)]" caption="Middle Age Patients(30–50)" measure="1" displayFolder="" measureGroup="Table1" count="0"/>
    <cacheHierarchy uniqueName="[Measures].[Older Patients (&gt;50)]" caption="Older Patients (&gt;50)" measure="1" displayFolder="" measureGroup="Table1" count="0"/>
    <cacheHierarchy uniqueName="[Measures].[Obese Diabetic]" caption="Obese Diabetic" measure="1" displayFolder="" measureGroup="Table1" count="0"/>
    <cacheHierarchy uniqueName="[Measures].[Avg Glucose]" caption="Avg Glucose" measure="1" displayFolder="" measureGroup="Table1" count="0"/>
    <cacheHierarchy uniqueName="[Measures].[Avg Blood Pressure]" caption="Avg Blood Pressure" measure="1" displayFolder="" measureGroup="Table1" count="0"/>
    <cacheHierarchy uniqueName="[Measures].[Avg Insulin]" caption="Avg Insul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57424776"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SI" refreshedDate="46189.920247569447" createdVersion="8" refreshedVersion="8" minRefreshableVersion="3" recordCount="0" supportSubquery="1" supportAdvancedDrill="1" xr:uid="{ADEDB033-8C7A-4096-82AA-F75A30613825}">
  <cacheSource type="external" connectionId="1">
    <extLst>
      <ext xmlns:x14="http://schemas.microsoft.com/office/spreadsheetml/2009/9/main" uri="{F057638F-6D5F-4e77-A914-E7F072B9BCA8}">
        <x14:sourceConnection name="ThisWorkbookDataModel"/>
      </ext>
    </extLst>
  </cacheSource>
  <cacheFields count="3">
    <cacheField name="[Table1].[Glucose Category].[Glucose Category]" caption="Glucose Category" numFmtId="0" hierarchy="1" level="1">
      <sharedItems count="3">
        <s v="High Risk"/>
        <s v="Normal"/>
        <s v="Prediabetes"/>
      </sharedItems>
    </cacheField>
    <cacheField name="[Measures].[Count of Outcome]" caption="Count of Outcome" numFmtId="0" hierarchy="19" level="32767"/>
    <cacheField name="[Table1].[Age Group].[Age Group]" caption="Age Group" numFmtId="0" hierarchy="9" level="1">
      <sharedItems containsSemiMixedTypes="0" containsNonDate="0" containsString="0"/>
    </cacheField>
  </cacheFields>
  <cacheHierarchies count="52">
    <cacheHierarchy uniqueName="[Table1].[Pregnancies]" caption="Pregnancies" attribute="1" defaultMemberUniqueName="[Table1].[Pregnancies].[All]" allUniqueName="[Table1].[Pregnancies].[All]" dimensionUniqueName="[Table1]" displayFolder="" count="0" memberValueDatatype="20" unbalanced="0"/>
    <cacheHierarchy uniqueName="[Table1].[Glucose Category]" caption="Glucose Category" attribute="1" defaultMemberUniqueName="[Table1].[Glucose Category].[All]" allUniqueName="[Table1].[Glucose Category].[All]" dimensionUniqueName="[Table1]" displayFolder="" count="2" memberValueDatatype="130" unbalanced="0">
      <fieldsUsage count="2">
        <fieldUsage x="-1"/>
        <fieldUsage x="0"/>
      </fieldsUsage>
    </cacheHierarchy>
    <cacheHierarchy uniqueName="[Table1].[Glucose]" caption="Glucose" attribute="1" defaultMemberUniqueName="[Table1].[Glucose].[All]" allUniqueName="[Table1].[Glucose].[All]" dimensionUniqueName="[Table1]" displayFolder="" count="0" memberValueDatatype="20" unbalanced="0"/>
    <cacheHierarchy uniqueName="[Table1].[BloodPressure]" caption="BloodPressure" attribute="1" defaultMemberUniqueName="[Table1].[BloodPressure].[All]" allUniqueName="[Table1].[BloodPressure].[All]" dimensionUniqueName="[Table1]" displayFolder="" count="0" memberValueDatatype="20" unbalanced="0"/>
    <cacheHierarchy uniqueName="[Table1].[SkinThickness]" caption="SkinThickness" attribute="1" defaultMemberUniqueName="[Table1].[SkinThickness].[All]" allUniqueName="[Table1].[SkinThickness].[All]" dimensionUniqueName="[Table1]" displayFolder="" count="0" memberValueDatatype="20" unbalanced="0"/>
    <cacheHierarchy uniqueName="[Table1].[Insulin]" caption="Insulin" attribute="1" defaultMemberUniqueName="[Table1].[Insulin].[All]" allUniqueName="[Table1].[Insulin].[All]" dimensionUniqueName="[Table1]" displayFolder="" count="0" memberValueDatatype="20" unbalanced="0"/>
    <cacheHierarchy uniqueName="[Table1].[BMI Category]" caption="BMI Category" attribute="1" defaultMemberUniqueName="[Table1].[BMI Category].[All]" allUniqueName="[Table1].[BMI Category].[All]" dimensionUniqueName="[Table1]" displayFolder="" count="2" memberValueDatatype="130" unbalanced="0"/>
    <cacheHierarchy uniqueName="[Table1].[BMI]" caption="BMI" attribute="1" defaultMemberUniqueName="[Table1].[BMI].[All]" allUniqueName="[Table1].[BMI].[All]" dimensionUniqueName="[Table1]" displayFolder="" count="0" memberValueDatatype="5" unbalanced="0"/>
    <cacheHierarchy uniqueName="[Table1].[DiabetesPedigreeFunction]" caption="DiabetesPedigreeFunction" attribute="1" defaultMemberUniqueName="[Table1].[DiabetesPedigreeFunction].[All]" allUniqueName="[Table1].[DiabetesPedigreeFunction].[All]" dimensionUniqueName="[Table1]" displayFolder="" count="0" memberValueDatatype="5" unbalanced="0"/>
    <cacheHierarchy uniqueName="[Table1].[Age Group]" caption="Age Group" attribute="1" defaultMemberUniqueName="[Table1].[Age Group].[All]" allUniqueName="[Table1].[Age Group].[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0" memberValueDatatype="20" unbalanced="0"/>
    <cacheHierarchy uniqueName="[Table1].[Outcome]" caption="Outcome" attribute="1" defaultMemberUniqueName="[Table1].[Outcome].[All]" allUniqueName="[Table1].[Outcome].[All]" dimensionUniqueName="[Table1]" displayFolder="" count="0" memberValueDatatype="20" unbalanced="0"/>
    <cacheHierarchy uniqueName="[Measures].[Sum of Glucose]" caption="Sum of Glucose" measure="1" displayFolder="" measureGroup="Table1" count="0">
      <extLst>
        <ext xmlns:x15="http://schemas.microsoft.com/office/spreadsheetml/2010/11/main" uri="{B97F6D7D-B522-45F9-BDA1-12C45D357490}">
          <x15:cacheHierarchy aggregatedColumn="2"/>
        </ext>
      </extLst>
    </cacheHierarchy>
    <cacheHierarchy uniqueName="[Measures].[Min of Glucose]" caption="Min of Glucose" measure="1" displayFolder="" measureGroup="Table1" count="0">
      <extLst>
        <ext xmlns:x15="http://schemas.microsoft.com/office/spreadsheetml/2010/11/main" uri="{B97F6D7D-B522-45F9-BDA1-12C45D357490}">
          <x15:cacheHierarchy aggregatedColumn="2"/>
        </ext>
      </extLst>
    </cacheHierarchy>
    <cacheHierarchy uniqueName="[Measures].[Max of Glucose]" caption="Max of Glucose" measure="1" displayFolder="" measureGroup="Table1" count="0">
      <extLst>
        <ext xmlns:x15="http://schemas.microsoft.com/office/spreadsheetml/2010/11/main" uri="{B97F6D7D-B522-45F9-BDA1-12C45D357490}">
          <x15:cacheHierarchy aggregatedColumn="2"/>
        </ext>
      </extLst>
    </cacheHierarchy>
    <cacheHierarchy uniqueName="[Measures].[Count of Glucose]" caption="Count of Glucose" measure="1" displayFolder="" measureGroup="Table1" count="0">
      <extLst>
        <ext xmlns:x15="http://schemas.microsoft.com/office/spreadsheetml/2010/11/main" uri="{B97F6D7D-B522-45F9-BDA1-12C45D357490}">
          <x15:cacheHierarchy aggregatedColumn="2"/>
        </ext>
      </extLst>
    </cacheHierarchy>
    <cacheHierarchy uniqueName="[Measures].[Distinct Count of Glucose]" caption="Distinct Count of Glucose" measure="1" displayFolder="" measureGroup="Table1" count="0">
      <extLst>
        <ext xmlns:x15="http://schemas.microsoft.com/office/spreadsheetml/2010/11/main" uri="{B97F6D7D-B522-45F9-BDA1-12C45D357490}">
          <x15:cacheHierarchy aggregatedColumn="2"/>
        </ext>
      </extLst>
    </cacheHierarchy>
    <cacheHierarchy uniqueName="[Measures].[Average of Glucose]" caption="Average of Glucose" measure="1" displayFolder="" measureGroup="Table1" count="0">
      <extLst>
        <ext xmlns:x15="http://schemas.microsoft.com/office/spreadsheetml/2010/11/main" uri="{B97F6D7D-B522-45F9-BDA1-12C45D357490}">
          <x15:cacheHierarchy aggregatedColumn="2"/>
        </ext>
      </extLst>
    </cacheHierarchy>
    <cacheHierarchy uniqueName="[Measures].[Sum of Outcome]" caption="Sum of Outcome" measure="1" displayFolder="" measureGroup="Table1" count="0">
      <extLst>
        <ext xmlns:x15="http://schemas.microsoft.com/office/spreadsheetml/2010/11/main" uri="{B97F6D7D-B522-45F9-BDA1-12C45D357490}">
          <x15:cacheHierarchy aggregatedColumn="11"/>
        </ext>
      </extLst>
    </cacheHierarchy>
    <cacheHierarchy uniqueName="[Measures].[Count of Outcome]" caption="Count of Outcome" measure="1" displayFolder="" measureGroup="Table1" count="0" oneField="1">
      <fieldsUsage count="1">
        <fieldUsage x="1"/>
      </fieldsUsage>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extLst>
        <ext xmlns:x15="http://schemas.microsoft.com/office/spreadsheetml/2010/11/main" uri="{B97F6D7D-B522-45F9-BDA1-12C45D357490}">
          <x15:cacheHierarchy aggregatedColumn="9"/>
        </ext>
      </extLst>
    </cacheHierarchy>
    <cacheHierarchy uniqueName="[Measures].[Average of Outcome]" caption="Average of Outcome" measure="1" displayFolder="" measureGroup="Table1" count="0">
      <extLst>
        <ext xmlns:x15="http://schemas.microsoft.com/office/spreadsheetml/2010/11/main" uri="{B97F6D7D-B522-45F9-BDA1-12C45D357490}">
          <x15:cacheHierarchy aggregatedColumn="11"/>
        </ext>
      </extLst>
    </cacheHierarchy>
    <cacheHierarchy uniqueName="[Measures].[Sum of Pregnancies]" caption="Sum of Pregnancies" measure="1" displayFolder="" measureGroup="Table1" count="0">
      <extLst>
        <ext xmlns:x15="http://schemas.microsoft.com/office/spreadsheetml/2010/11/main" uri="{B97F6D7D-B522-45F9-BDA1-12C45D357490}">
          <x15:cacheHierarchy aggregatedColumn="0"/>
        </ext>
      </extLst>
    </cacheHierarchy>
    <cacheHierarchy uniqueName="[Measures].[Count of Pregnancies]" caption="Count of Pregnancies" measure="1" displayFolder="" measureGroup="Table1" count="0">
      <extLst>
        <ext xmlns:x15="http://schemas.microsoft.com/office/spreadsheetml/2010/11/main" uri="{B97F6D7D-B522-45F9-BDA1-12C45D357490}">
          <x15:cacheHierarchy aggregatedColumn="0"/>
        </ext>
      </extLst>
    </cacheHierarchy>
    <cacheHierarchy uniqueName="[Measures].[Count of BMI Category]" caption="Count of BMI Category" measure="1" displayFolder="" measureGroup="Table1" count="0">
      <extLst>
        <ext xmlns:x15="http://schemas.microsoft.com/office/spreadsheetml/2010/11/main" uri="{B97F6D7D-B522-45F9-BDA1-12C45D357490}">
          <x15:cacheHierarchy aggregatedColumn="6"/>
        </ext>
      </extLst>
    </cacheHierarchy>
    <cacheHierarchy uniqueName="[Measures].[Sum of BMI]" caption="Sum of BMI" measure="1" displayFolder="" measureGroup="Table1" count="0">
      <extLst>
        <ext xmlns:x15="http://schemas.microsoft.com/office/spreadsheetml/2010/11/main" uri="{B97F6D7D-B522-45F9-BDA1-12C45D357490}">
          <x15:cacheHierarchy aggregatedColumn="7"/>
        </ext>
      </extLst>
    </cacheHierarchy>
    <cacheHierarchy uniqueName="[Measures].[Count of BMI]" caption="Count of BMI" measure="1" displayFolder="" measureGroup="Table1" count="0">
      <extLst>
        <ext xmlns:x15="http://schemas.microsoft.com/office/spreadsheetml/2010/11/main" uri="{B97F6D7D-B522-45F9-BDA1-12C45D357490}">
          <x15:cacheHierarchy aggregatedColumn="7"/>
        </ext>
      </extLst>
    </cacheHierarchy>
    <cacheHierarchy uniqueName="[Measures].[Count of Glucose Category]" caption="Count of Glucose Category" measure="1" displayFolder="" measureGroup="Table1" count="0">
      <extLst>
        <ext xmlns:x15="http://schemas.microsoft.com/office/spreadsheetml/2010/11/main" uri="{B97F6D7D-B522-45F9-BDA1-12C45D357490}">
          <x15:cacheHierarchy aggregatedColumn="1"/>
        </ext>
      </extLst>
    </cacheHierarchy>
    <cacheHierarchy uniqueName="[Measures].[Avg Glucose Level]" caption="Avg Glucose Level" measure="1" displayFolder="" measureGroup="Table1" count="0"/>
    <cacheHierarchy uniqueName="[Measures].[Avg BMI]" caption="Avg BMI" measure="1" displayFolder="" measureGroup="Table1" count="0"/>
    <cacheHierarchy uniqueName="[Measures].[Avg Age]" caption="Avg Age" measure="1" displayFolder="" measureGroup="Table1" count="0"/>
    <cacheHierarchy uniqueName="[Measures].[Total Patients]" caption="Total Patients" measure="1" displayFolder="" measureGroup="Table1" count="0"/>
    <cacheHierarchy uniqueName="[Measures].[Total Diabetic Patients]" caption="Total Diabetic Patients" measure="1" displayFolder="" measureGroup="Table1" count="0"/>
    <cacheHierarchy uniqueName="[Measures].[Total Non-Diabetic Patients]" caption="Total Non-Diabetic Patients" measure="1" displayFolder="" measureGroup="Table1" count="0"/>
    <cacheHierarchy uniqueName="[Measures].[Diabetes Rate % ]" caption="Diabetes Rate % " measure="1" displayFolder="" measureGroup="Table1" count="0"/>
    <cacheHierarchy uniqueName="[Measures].[High Glucose Patients (&gt;140)]" caption="High Glucose Patients (&gt;140)" measure="1" displayFolder="" measureGroup="Table1" count="0"/>
    <cacheHierarchy uniqueName="[Measures].[Obese Patients (BMI ≥ 30)]" caption="Obese Patients (BMI ≥ 30)" measure="1" displayFolder="" measureGroup="Table1" count="0"/>
    <cacheHierarchy uniqueName="[Measures].[Avg Pregnancies]" caption="Avg Pregnancies" measure="1" displayFolder="" measureGroup="Table1" count="0"/>
    <cacheHierarchy uniqueName="[Measures].[Pregnant Patients]" caption="Pregnant Patients" measure="1" displayFolder="" measureGroup="Table1" count="0"/>
    <cacheHierarchy uniqueName="[Measures].[Non-Pregnant Patients]" caption="Non-Pregnant Patients" measure="1" displayFolder="" measureGroup="Table1" count="0"/>
    <cacheHierarchy uniqueName="[Measures].[TotalPregnantPatients]" caption="TotalPregnantPatients" measure="1" displayFolder="" measureGroup="Table1" count="0"/>
    <cacheHierarchy uniqueName="[Measures].[Pregnant Diabetic Patients]" caption="Pregnant Diabetic Patients" measure="1" displayFolder="" measureGroup="Table1" count="0"/>
    <cacheHierarchy uniqueName="[Measures].[Pregnant Non-Diabetic Patients]" caption="Pregnant Non-Diabetic Patients" measure="1" displayFolder="" measureGroup="Table1" count="0"/>
    <cacheHierarchy uniqueName="[Measures].[Young Patients (&lt;30)]" caption="Young Patients (&lt;30)" measure="1" displayFolder="" measureGroup="Table1" count="0"/>
    <cacheHierarchy uniqueName="[Measures].[Middle Age Patients(30–50)]" caption="Middle Age Patients(30–50)" measure="1" displayFolder="" measureGroup="Table1" count="0"/>
    <cacheHierarchy uniqueName="[Measures].[Older Patients (&gt;50)]" caption="Older Patients (&gt;50)" measure="1" displayFolder="" measureGroup="Table1" count="0"/>
    <cacheHierarchy uniqueName="[Measures].[Obese Diabetic]" caption="Obese Diabetic" measure="1" displayFolder="" measureGroup="Table1" count="0"/>
    <cacheHierarchy uniqueName="[Measures].[Avg Glucose]" caption="Avg Glucose" measure="1" displayFolder="" measureGroup="Table1" count="0"/>
    <cacheHierarchy uniqueName="[Measures].[Avg Blood Pressure]" caption="Avg Blood Pressure" measure="1" displayFolder="" measureGroup="Table1" count="0"/>
    <cacheHierarchy uniqueName="[Measures].[Avg Insulin]" caption="Avg Insulin"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pivotCacheId="8109492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6A9DA5-76C4-4DF4-A80F-12D685F375D7}" name="PivotChartTable14" cacheId="12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Outcome" fld="1" subtotal="count" baseField="0" baseItem="0"/>
  </dataFields>
  <chartFormats count="7">
    <chartFormat chart="0" format="5" series="1">
      <pivotArea type="data" outline="0" fieldPosition="0">
        <references count="2">
          <reference field="4294967294" count="1" selected="0">
            <x v="0"/>
          </reference>
          <reference field="0" count="1" selected="0">
            <x v="0"/>
          </reference>
        </references>
      </pivotArea>
    </chartFormat>
    <chartFormat chart="0" format="6" series="1">
      <pivotArea type="data" outline="0" fieldPosition="0">
        <references count="2">
          <reference field="4294967294" count="1" selected="0">
            <x v="0"/>
          </reference>
          <reference field="0" count="1" selected="0">
            <x v="1"/>
          </reference>
        </references>
      </pivotArea>
    </chartFormat>
    <chartFormat chart="0" format="7" series="1">
      <pivotArea type="data" outline="0" fieldPosition="0">
        <references count="2">
          <reference field="4294967294" count="1" selected="0">
            <x v="0"/>
          </reference>
          <reference field="0" count="1" selected="0">
            <x v="2"/>
          </reference>
        </references>
      </pivotArea>
    </chartFormat>
    <chartFormat chart="0" format="8"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Sum of Outcome"/>
    <pivotHierarchy dragToData="1" caption="Count of Outcome"/>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81094927">
        <x15:pivotRow count="1">
          <x15:c>
            <x15:v>297</x15:v>
          </x15:c>
        </x15:pivotRow>
        <x15:pivotRow count="1">
          <x15:c>
            <x15:v>197</x15:v>
          </x15:c>
        </x15:pivotRow>
        <x15:pivotRow count="1">
          <x15:c>
            <x15:v>274</x15:v>
          </x15:c>
        </x15:pivotRow>
        <x15:pivotRow count="1">
          <x15:c>
            <x15:v>768</x15:v>
          </x15:c>
        </x15:pivotRow>
      </x15:pivotTableData>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F2ECC5-0F49-4024-A1E8-EB7CF34C8BE9}" name="PivotTable25" cacheId="1292" applyNumberFormats="0" applyBorderFormats="0" applyFontFormats="0" applyPatternFormats="0" applyAlignmentFormats="0" applyWidthHeightFormats="1" dataCaption="Values" tag="5e79abde-d58a-4ba8-8c83-22d202b741f1" updatedVersion="8" minRefreshableVersion="3" useAutoFormatting="1" subtotalHiddenItems="1" itemPrintTitles="1" createdVersion="5" indent="0" outline="1" outlineData="1" multipleFieldFilters="0" chartFormat="60">
  <location ref="I11:J1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5">
    <format dxfId="771">
      <pivotArea type="all" dataOnly="0" outline="0" fieldPosition="0"/>
    </format>
    <format dxfId="772">
      <pivotArea outline="0" collapsedLevelsAreSubtotals="1" fieldPosition="0"/>
    </format>
    <format dxfId="764">
      <pivotArea collapsedLevelsAreSubtotals="1" fieldPosition="0">
        <references count="1">
          <reference field="0" count="1">
            <x v="0"/>
          </reference>
        </references>
      </pivotArea>
    </format>
    <format dxfId="759">
      <pivotArea collapsedLevelsAreSubtotals="1" fieldPosition="0">
        <references count="1">
          <reference field="0" count="1">
            <x v="1"/>
          </reference>
        </references>
      </pivotArea>
    </format>
    <format dxfId="751">
      <pivotArea grandRow="1" outline="0" collapsedLevelsAreSubtotals="1" fieldPosition="0"/>
    </format>
  </formats>
  <chartFormats count="4">
    <chartFormat chart="50" format="0"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 chart="53" format="5">
      <pivotArea type="data" outline="0" fieldPosition="0">
        <references count="2">
          <reference field="4294967294" count="1" selected="0">
            <x v="0"/>
          </reference>
          <reference field="0" count="1" selected="0">
            <x v="0"/>
          </reference>
        </references>
      </pivotArea>
    </chartFormat>
    <chartFormat chart="53" format="6">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utcome"/>
    <pivotHierarchy dragToData="1"/>
    <pivotHierarchy dragToData="1" caption="Average of Outcom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81CC55-F7BE-4BA4-BA66-C05DA8343C1C}" name="PivotTable18" cacheId="804" applyNumberFormats="0" applyBorderFormats="0" applyFontFormats="0" applyPatternFormats="0" applyAlignmentFormats="0" applyWidthHeightFormats="1" dataCaption="Values" tag="91b38cd7-f7de-43c7-9955-ba37c4f6cce7" updatedVersion="8" minRefreshableVersion="3" useAutoFormatting="1" subtotalHiddenItems="1" itemPrintTitles="1" createdVersion="8" indent="0" outline="1" outlineData="1" multipleFieldFilters="0" chartFormat="1">
  <location ref="A26:G29" firstHeaderRow="0"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s>
  <rowFields count="1">
    <field x="6"/>
  </rowFields>
  <rowItems count="3">
    <i>
      <x/>
    </i>
    <i>
      <x v="1"/>
    </i>
    <i t="grand">
      <x/>
    </i>
  </rowItems>
  <colFields count="1">
    <field x="-2"/>
  </colFields>
  <colItems count="6">
    <i>
      <x/>
    </i>
    <i i="1">
      <x v="1"/>
    </i>
    <i i="2">
      <x v="2"/>
    </i>
    <i i="3">
      <x v="3"/>
    </i>
    <i i="4">
      <x v="4"/>
    </i>
    <i i="5">
      <x v="5"/>
    </i>
  </colItems>
  <dataFields count="6">
    <dataField fld="0" subtotal="count" baseField="0" baseItem="0" numFmtId="165"/>
    <dataField fld="1" subtotal="count" baseField="0" baseItem="0" numFmtId="2"/>
    <dataField fld="2" subtotal="count" baseField="0" baseItem="0" numFmtId="2"/>
    <dataField fld="3" subtotal="count" baseField="0" baseItem="0" numFmtId="2"/>
    <dataField fld="4" subtotal="count" baseField="0" baseItem="0"/>
    <dataField fld="5" subtotal="count" baseField="0" baseItem="0"/>
  </dataFields>
  <formats count="4">
    <format dxfId="873">
      <pivotArea outline="0" collapsedLevelsAreSubtotals="1" fieldPosition="0">
        <references count="1">
          <reference field="4294967294" count="1" selected="0">
            <x v="0"/>
          </reference>
        </references>
      </pivotArea>
    </format>
    <format dxfId="874">
      <pivotArea outline="0" collapsedLevelsAreSubtotals="1" fieldPosition="0">
        <references count="1">
          <reference field="4294967294" count="1" selected="0">
            <x v="1"/>
          </reference>
        </references>
      </pivotArea>
    </format>
    <format dxfId="875">
      <pivotArea outline="0" collapsedLevelsAreSubtotals="1" fieldPosition="0">
        <references count="1">
          <reference field="4294967294" count="1" selected="0">
            <x v="2"/>
          </reference>
        </references>
      </pivotArea>
    </format>
    <format dxfId="876">
      <pivotArea outline="0" collapsedLevelsAreSubtotals="1" fieldPosition="0">
        <references count="1">
          <reference field="4294967294" count="1" selected="0">
            <x v="3"/>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utcome"/>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abetes.csv!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367031-673D-4385-819B-3D7C143C2ADC}" name="PivotTable15" cacheId="1289" applyNumberFormats="0" applyBorderFormats="0" applyFontFormats="0" applyPatternFormats="0" applyAlignmentFormats="0" applyWidthHeightFormats="1" dataCaption="Values" tag="0e6a94fe-9f2c-4e8b-ba63-b97c5a19d4a7" updatedVersion="8" minRefreshableVersion="3" useAutoFormatting="1" subtotalHiddenItems="1" itemPrintTitles="1" createdVersion="5" indent="0" outline="1" outlineData="1" multipleFieldFilters="0" chartFormat="44">
  <location ref="A13:B1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5">
    <format dxfId="871">
      <pivotArea type="all" dataOnly="0" outline="0" fieldPosition="0"/>
    </format>
    <format dxfId="872">
      <pivotArea outline="0" collapsedLevelsAreSubtotals="1" fieldPosition="0"/>
    </format>
    <format dxfId="826">
      <pivotArea collapsedLevelsAreSubtotals="1" fieldPosition="0">
        <references count="1">
          <reference field="0" count="1">
            <x v="0"/>
          </reference>
        </references>
      </pivotArea>
    </format>
    <format dxfId="825">
      <pivotArea collapsedLevelsAreSubtotals="1" fieldPosition="0">
        <references count="1">
          <reference field="0" count="1">
            <x v="1"/>
          </reference>
        </references>
      </pivotArea>
    </format>
    <format dxfId="823">
      <pivotArea grandRow="1" outline="0" collapsedLevelsAreSubtotals="1" fieldPosition="0"/>
    </format>
  </formats>
  <pivotHierarchies count="5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utcome"/>
    <pivotHierarchy dragToData="1"/>
    <pivotHierarchy dragToData="1" caption="Average of Outcom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5B9859-CD03-477B-A8FA-37D9D04AF66A}" name="PivotTable14" cacheId="1286" applyNumberFormats="0" applyBorderFormats="0" applyFontFormats="0" applyPatternFormats="0" applyAlignmentFormats="0" applyWidthHeightFormats="1" dataCaption="Values" tag="51bff80b-8d99-4828-a9f8-47fa1b547f69" updatedVersion="8" minRefreshableVersion="3" useAutoFormatting="1" subtotalHiddenItems="1" itemPrintTitles="1" createdVersion="5" indent="0" outline="1" outlineData="1" multipleFieldFilters="0" chartFormat="44">
  <location ref="A7:B1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numFmtId="165"/>
  </dataFields>
  <formats count="3">
    <format dxfId="868">
      <pivotArea type="all" dataOnly="0" outline="0" fieldPosition="0"/>
    </format>
    <format dxfId="869">
      <pivotArea outline="0" collapsedLevelsAreSubtotals="1" fieldPosition="0"/>
    </format>
    <format dxfId="870">
      <pivotArea outline="0" collapsedLevelsAreSubtotals="1" fieldPosition="0">
        <references count="1">
          <reference field="4294967294" count="1" selected="0">
            <x v="0"/>
          </reference>
        </references>
      </pivotArea>
    </format>
  </formats>
  <chartFormats count="2">
    <chartFormat chart="23" format="21" series="1">
      <pivotArea type="data" outline="0" fieldPosition="0">
        <references count="1">
          <reference field="4294967294" count="1" selected="0">
            <x v="0"/>
          </reference>
        </references>
      </pivotArea>
    </chartFormat>
    <chartFormat chart="35" format="22"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utcome"/>
    <pivotHierarchy dragToData="1"/>
    <pivotHierarchy dragToData="1" caption="Average of Outcom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BD4BFA-33C5-425A-A36B-486EF91CA9AA}" name="PivotTable12" cacheId="1283" applyNumberFormats="0" applyBorderFormats="0" applyFontFormats="0" applyPatternFormats="0" applyAlignmentFormats="0" applyWidthHeightFormats="1" dataCaption="Values" tag="bd52a6fc-da56-4f4a-bd36-bc293b46eaed" updatedVersion="8" minRefreshableVersion="3" useAutoFormatting="1" subtotalHiddenItems="1" itemPrintTitles="1" createdVersion="5" indent="0" outline="1" outlineData="1" multipleFieldFilters="0" chartFormat="44">
  <location ref="I18:J2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formats count="2">
    <format dxfId="866">
      <pivotArea type="all" dataOnly="0" outline="0" fieldPosition="0"/>
    </format>
    <format dxfId="867">
      <pivotArea outline="0" collapsedLevelsAreSubtotals="1" fieldPosition="0"/>
    </format>
  </formats>
  <pivotHierarchies count="5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utcome"/>
    <pivotHierarchy dragToData="1"/>
    <pivotHierarchy dragToData="1" caption="Average of Outcom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134859-C3EB-49C2-8C9B-B902B7D10D7C}" name="PivotTable11" cacheId="1280" applyNumberFormats="0" applyBorderFormats="0" applyFontFormats="0" applyPatternFormats="0" applyAlignmentFormats="0" applyWidthHeightFormats="1" dataCaption="Values" tag="fb1ff6ec-006e-4b05-b6f7-5390636f4d56" updatedVersion="8" minRefreshableVersion="3" useAutoFormatting="1" subtotalHiddenItems="1" itemPrintTitles="1" createdVersion="5" indent="0" outline="1" outlineData="1" multipleFieldFilters="0" chartFormat="44">
  <location ref="F18:G2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Glucose" fld="1" subtotal="count" baseField="0" baseItem="0"/>
  </dataFields>
  <formats count="2">
    <format dxfId="864">
      <pivotArea type="all" dataOnly="0" outline="0" fieldPosition="0"/>
    </format>
    <format dxfId="865">
      <pivotArea outline="0" collapsedLevelsAreSubtotals="1" fieldPosition="0"/>
    </format>
  </formats>
  <pivotHierarchies count="5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Count of Glucose"/>
    <pivotHierarchy dragToData="1"/>
    <pivotHierarchy dragToData="1"/>
    <pivotHierarchy dragToData="1"/>
    <pivotHierarchy dragToData="1" caption="Count of Outcome"/>
    <pivotHierarchy dragToData="1"/>
    <pivotHierarchy dragToData="1" caption="Average of Outcome"/>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7E28C8-8081-40B3-85B0-54C5FE4B73C3}" name="PivotTable7" cacheId="1277" applyNumberFormats="0" applyBorderFormats="0" applyFontFormats="0" applyPatternFormats="0" applyAlignmentFormats="0" applyWidthHeightFormats="1" dataCaption="Values" tag="a7697d6e-a4d7-45b3-b307-539fcb15c507" updatedVersion="8" minRefreshableVersion="3" useAutoFormatting="1" subtotalHiddenItems="1" itemPrintTitles="1" createdVersion="5" indent="0" outline="1" outlineData="1" multipleFieldFilters="0" chartFormat="44">
  <location ref="A18:C21"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Count of BMI" fld="2" subtotal="count" baseField="0" baseItem="0"/>
    <dataField name="Count of Glucose" fld="1" subtotal="count" baseField="0" baseItem="0"/>
  </dataFields>
  <formats count="2">
    <format dxfId="862">
      <pivotArea type="all" dataOnly="0" outline="0" fieldPosition="0"/>
    </format>
    <format dxfId="863">
      <pivotArea outline="0" collapsedLevelsAreSubtotals="1" fieldPosition="0"/>
    </format>
  </formats>
  <pivotHierarchies count="5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Count of Glucose"/>
    <pivotHierarchy dragToData="1"/>
    <pivotHierarchy dragToData="1"/>
    <pivotHierarchy dragToData="1"/>
    <pivotHierarchy dragToData="1" caption="Count of Outcome"/>
    <pivotHierarchy dragToData="1"/>
    <pivotHierarchy dragToData="1" caption="Average of Outcome"/>
    <pivotHierarchy dragToData="1"/>
    <pivotHierarchy dragToData="1"/>
    <pivotHierarchy dragToData="1"/>
    <pivotHierarchy dragToData="1"/>
    <pivotHierarchy dragToData="1" caption="Count of BMI"/>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9D1777-10AB-4B6E-8109-99C86F3EB4FD}" name="PivotTable1" cacheId="1268" dataOnRows="1" applyNumberFormats="0" applyBorderFormats="0" applyFontFormats="0" applyPatternFormats="0" applyAlignmentFormats="0" applyWidthHeightFormats="1" dataCaption="Values" tag="81455e86-074e-43f9-a179-b645bd1f4726" updatedVersion="8" minRefreshableVersion="3" useAutoFormatting="1" subtotalHiddenItems="1" itemPrintTitles="1" mergeItem="1" createdVersion="8" indent="0" outline="1" outlineData="1" multipleFieldFilters="0" chartFormat="31">
  <location ref="F11:G1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Glucose" fld="1" subtotal="count" baseField="0" baseItem="0"/>
  </dataFields>
  <formats count="24">
    <format dxfId="838">
      <pivotArea type="all" dataOnly="0" outline="0" fieldPosition="0"/>
    </format>
    <format dxfId="839">
      <pivotArea outline="0" collapsedLevelsAreSubtotals="1" fieldPosition="0"/>
    </format>
    <format dxfId="840">
      <pivotArea field="0" type="button" dataOnly="0" labelOnly="1" outline="0" axis="axisRow" fieldPosition="0"/>
    </format>
    <format dxfId="841">
      <pivotArea dataOnly="0" labelOnly="1" fieldPosition="0">
        <references count="1">
          <reference field="0" count="0"/>
        </references>
      </pivotArea>
    </format>
    <format dxfId="842">
      <pivotArea dataOnly="0" labelOnly="1" grandRow="1" outline="0" fieldPosition="0"/>
    </format>
    <format dxfId="843">
      <pivotArea dataOnly="0" labelOnly="1" outline="0" axis="axisValues" fieldPosition="0"/>
    </format>
    <format dxfId="844">
      <pivotArea type="all" dataOnly="0" outline="0" fieldPosition="0"/>
    </format>
    <format dxfId="845">
      <pivotArea outline="0" collapsedLevelsAreSubtotals="1" fieldPosition="0"/>
    </format>
    <format dxfId="846">
      <pivotArea field="0" type="button" dataOnly="0" labelOnly="1" outline="0" axis="axisRow" fieldPosition="0"/>
    </format>
    <format dxfId="847">
      <pivotArea dataOnly="0" labelOnly="1" fieldPosition="0">
        <references count="1">
          <reference field="0" count="0"/>
        </references>
      </pivotArea>
    </format>
    <format dxfId="848">
      <pivotArea dataOnly="0" labelOnly="1" grandRow="1" outline="0" fieldPosition="0"/>
    </format>
    <format dxfId="849">
      <pivotArea dataOnly="0" labelOnly="1" outline="0" axis="axisValues" fieldPosition="0"/>
    </format>
    <format dxfId="850">
      <pivotArea type="all" dataOnly="0" outline="0" fieldPosition="0"/>
    </format>
    <format dxfId="851">
      <pivotArea outline="0" collapsedLevelsAreSubtotals="1" fieldPosition="0"/>
    </format>
    <format dxfId="852">
      <pivotArea field="0" type="button" dataOnly="0" labelOnly="1" outline="0" axis="axisRow" fieldPosition="0"/>
    </format>
    <format dxfId="853">
      <pivotArea dataOnly="0" labelOnly="1" fieldPosition="0">
        <references count="1">
          <reference field="0" count="0"/>
        </references>
      </pivotArea>
    </format>
    <format dxfId="854">
      <pivotArea dataOnly="0" labelOnly="1" grandRow="1" outline="0" fieldPosition="0"/>
    </format>
    <format dxfId="855">
      <pivotArea dataOnly="0" labelOnly="1" outline="0" axis="axisValues" fieldPosition="0"/>
    </format>
    <format dxfId="856">
      <pivotArea type="all" dataOnly="0" outline="0" fieldPosition="0"/>
    </format>
    <format dxfId="857">
      <pivotArea outline="0" collapsedLevelsAreSubtotals="1" fieldPosition="0"/>
    </format>
    <format dxfId="858">
      <pivotArea field="0" type="button" dataOnly="0" labelOnly="1" outline="0" axis="axisRow" fieldPosition="0"/>
    </format>
    <format dxfId="859">
      <pivotArea dataOnly="0" labelOnly="1" fieldPosition="0">
        <references count="1">
          <reference field="0" count="0"/>
        </references>
      </pivotArea>
    </format>
    <format dxfId="860">
      <pivotArea dataOnly="0" labelOnly="1" grandRow="1" outline="0" fieldPosition="0"/>
    </format>
    <format dxfId="861">
      <pivotArea dataOnly="0" labelOnly="1" outline="0" axis="axisValues" fieldPosition="0"/>
    </format>
  </formats>
  <chartFormats count="1">
    <chartFormat chart="20" format="23"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Count of Glucose"/>
    <pivotHierarchy dragToData="1"/>
    <pivotHierarchy dragToData="1"/>
    <pivotHierarchy dragToData="1"/>
    <pivotHierarchy dragToData="1" caption="Count of Outcome"/>
    <pivotHierarchy dragToData="1"/>
    <pivotHierarchy dragToData="1"/>
    <pivotHierarchy dragToData="1"/>
    <pivotHierarchy dragToData="1" caption="Count of Pregnancie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F56732-BE6A-4513-9486-9254D1924B50}" name="PivotTable5" cacheId="1271" applyNumberFormats="0" applyBorderFormats="0" applyFontFormats="0" applyPatternFormats="0" applyAlignmentFormats="0" applyWidthHeightFormats="1" dataCaption="Values" tag="1ee9169f-a1e4-4d58-a966-de27d5bb1344" updatedVersion="8" minRefreshableVersion="3" useAutoFormatting="1" subtotalHiddenItems="1" itemPrintTitles="1" createdVersion="8" indent="0" outline="1" outlineData="1" multipleFieldFilters="0" chartFormat="3">
  <location ref="F6:G7"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5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caption="Min of Glucose"/>
    <pivotHierarchy dragToData="1" caption="Max of Glucose"/>
    <pivotHierarchy dragToData="1" caption="Count of Glucose"/>
    <pivotHierarchy dragToData="1" caption="Distinct Count of Glucose"/>
    <pivotHierarchy dragToData="1" caption="Average of Glucose"/>
    <pivotHierarchy dragToData="1"/>
    <pivotHierarchy dragToData="1" caption="Count of Outcome"/>
    <pivotHierarchy dragToData="1"/>
    <pivotHierarchy dragToData="1"/>
    <pivotHierarchy dragToData="1"/>
    <pivotHierarchy dragToData="1" caption="Count of Pregnancies"/>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D3F529-E94D-4A3F-B2F8-2CFFFAC16013}" name="PivotTable4" cacheId="1265" applyNumberFormats="0" applyBorderFormats="0" applyFontFormats="0" applyPatternFormats="0" applyAlignmentFormats="0" applyWidthHeightFormats="1" dataCaption="Values" tag="34257b49-ed41-4aae-b469-784cb465e807" updatedVersion="8" minRefreshableVersion="3" useAutoFormatting="1" subtotalHiddenItems="1" itemPrintTitles="1" createdVersion="8" indent="0" outline="1" outlineData="1" multipleFieldFilters="0" chartFormat="22">
  <location ref="A3:N4" firstHeaderRow="0" firstDataRow="1" firstDataCol="0"/>
  <pivotFields count="1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4">
    <i>
      <x/>
    </i>
    <i i="1">
      <x v="1"/>
    </i>
    <i i="2">
      <x v="2"/>
    </i>
    <i i="3">
      <x v="3"/>
    </i>
    <i i="4">
      <x v="4"/>
    </i>
    <i i="5">
      <x v="5"/>
    </i>
    <i i="6">
      <x v="6"/>
    </i>
    <i i="7">
      <x v="7"/>
    </i>
    <i i="8">
      <x v="8"/>
    </i>
    <i i="9">
      <x v="9"/>
    </i>
    <i i="10">
      <x v="10"/>
    </i>
    <i i="11">
      <x v="11"/>
    </i>
    <i i="12">
      <x v="12"/>
    </i>
    <i i="13">
      <x v="13"/>
    </i>
  </colItems>
  <dataFields count="14">
    <dataField fld="0" subtotal="count" baseField="0" baseItem="0"/>
    <dataField fld="1" subtotal="count" baseField="0" baseItem="0"/>
    <dataField fld="2" subtotal="count" baseField="0" baseItem="0"/>
    <dataField fld="3" subtotal="count" baseField="0" baseItem="0" numFmtId="165"/>
    <dataField fld="4" subtotal="count" baseField="0" baseItem="0" numFmtId="2"/>
    <dataField fld="5" subtotal="count" baseField="0" baseItem="0" numFmtId="164"/>
    <dataField fld="6" subtotal="count" baseField="0" baseItem="0"/>
    <dataField fld="7" subtotal="count" baseField="0" baseItem="0" numFmtId="2"/>
    <dataField fld="8" subtotal="count" baseField="0" baseItem="0"/>
    <dataField fld="9" subtotal="count" baseField="0" baseItem="0"/>
    <dataField fld="10" subtotal="count" baseField="0" baseItem="0"/>
    <dataField fld="11" subtotal="count" baseField="0" baseItem="0" numFmtId="1"/>
    <dataField fld="12" subtotal="count" baseField="0" baseItem="0"/>
    <dataField fld="13" subtotal="count" baseField="0" baseItem="0"/>
  </dataFields>
  <formats count="7">
    <format dxfId="831">
      <pivotArea type="all" dataOnly="0" outline="0" fieldPosition="0"/>
    </format>
    <format dxfId="832">
      <pivotArea outline="0" collapsedLevelsAreSubtotals="1" fieldPosition="0"/>
    </format>
    <format dxfId="833">
      <pivotArea outline="0" collapsedLevelsAreSubtotals="1" fieldPosition="0">
        <references count="1">
          <reference field="4294967294" count="1" selected="0">
            <x v="7"/>
          </reference>
        </references>
      </pivotArea>
    </format>
    <format dxfId="834">
      <pivotArea outline="0" collapsedLevelsAreSubtotals="1" fieldPosition="0">
        <references count="1">
          <reference field="4294967294" count="1" selected="0">
            <x v="5"/>
          </reference>
        </references>
      </pivotArea>
    </format>
    <format dxfId="835">
      <pivotArea outline="0" collapsedLevelsAreSubtotals="1" fieldPosition="0">
        <references count="1">
          <reference field="4294967294" count="1" selected="0">
            <x v="4"/>
          </reference>
        </references>
      </pivotArea>
    </format>
    <format dxfId="836">
      <pivotArea outline="0" collapsedLevelsAreSubtotals="1" fieldPosition="0">
        <references count="1">
          <reference field="4294967294" count="1" selected="0">
            <x v="3"/>
          </reference>
        </references>
      </pivotArea>
    </format>
    <format dxfId="837">
      <pivotArea outline="0" collapsedLevelsAreSubtotals="1" fieldPosition="0">
        <references count="1">
          <reference field="4294967294" count="1" selected="0">
            <x v="11"/>
          </reference>
        </references>
      </pivotArea>
    </format>
  </formats>
  <pivotHierarchies count="52">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abetes.csv!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BC4A24C-271B-4A0E-ACFE-AF775A4F6DFB}" sourceName="[Table1].[Age Group]">
  <pivotTables>
    <pivotTable tabId="6" name="PivotTable4"/>
    <pivotTable tabId="6" name="PivotTable1"/>
    <pivotTable tabId="6" name="PivotTable5"/>
    <pivotTable tabId="6" name="PivotTable7"/>
    <pivotTable tabId="6" name="PivotTable11"/>
    <pivotTable tabId="6" name="PivotTable12"/>
    <pivotTable tabId="6" name="PivotTable14"/>
    <pivotTable tabId="6" name="PivotTable15"/>
    <pivotTable tabId="6" name="PivotTable25"/>
  </pivotTables>
  <data>
    <olap pivotCacheId="457424776">
      <levels count="2">
        <level uniqueName="[Table1].[Age Group].[(All)]" sourceCaption="(All)" count="0"/>
        <level uniqueName="[Table1].[Age Group].[Age Group]" sourceCaption="Age Group" count="3">
          <ranges>
            <range startItem="0">
              <i n="[Table1].[Age Group].&amp;[Middle Age (30-50)]" c="Middle Age (30-50)"/>
              <i n="[Table1].[Age Group].&amp;[Older (&gt;50)]" c="Older (&gt;50)"/>
              <i n="[Table1].[Age Group].&amp;[Young (&lt;30)]" c="Young (&lt;30)"/>
            </range>
          </ranges>
        </level>
      </levels>
      <selections count="1">
        <selection n="[Table1].[Age Group].[All]"/>
      </selections>
    </olap>
  </data>
  <extLst>
    <x:ext xmlns:x15="http://schemas.microsoft.com/office/spreadsheetml/2010/11/main" uri="{03082B11-2C62-411c-B77F-237D8FCFBE4C}">
      <x15:slicerCachePivotTables>
        <pivotTable tabId="4294967295" name="PivotChartTable14"/>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54F417F6-DEB1-44B8-A5BC-937B50272E10}" sourceName="[Table1].[BMI Category]">
  <pivotTables>
    <pivotTable tabId="6" name="PivotTable4"/>
    <pivotTable tabId="6" name="PivotTable1"/>
    <pivotTable tabId="6" name="PivotTable5"/>
    <pivotTable tabId="6" name="PivotTable7"/>
    <pivotTable tabId="6" name="PivotTable11"/>
    <pivotTable tabId="6" name="PivotTable12"/>
    <pivotTable tabId="6" name="PivotTable14"/>
    <pivotTable tabId="6" name="PivotTable15"/>
    <pivotTable tabId="6" name="PivotTable25"/>
  </pivotTables>
  <data>
    <olap pivotCacheId="457424776">
      <levels count="2">
        <level uniqueName="[Table1].[BMI Category].[(All)]" sourceCaption="(All)" count="0"/>
        <level uniqueName="[Table1].[BMI Category].[BMI Category]" sourceCaption="BMI Category" count="4">
          <ranges>
            <range startItem="0">
              <i n="[Table1].[BMI Category].&amp;[Normal]" c="Normal"/>
              <i n="[Table1].[BMI Category].&amp;[Obese]" c="Obese"/>
              <i n="[Table1].[BMI Category].&amp;[Overweight]" c="Overweight"/>
              <i n="[Table1].[BMI Category].&amp;[Underweight]" c="Underweight"/>
            </range>
          </ranges>
        </level>
      </levels>
      <selections count="1">
        <selection n="[Table1].[BMI Category].[All]"/>
      </selections>
    </olap>
  </data>
  <extLst>
    <x:ext xmlns:x15="http://schemas.microsoft.com/office/spreadsheetml/2010/11/main" uri="{03082B11-2C62-411c-B77F-237D8FCFBE4C}">
      <x15:slicerCachePivotTables>
        <pivotTable tabId="4294967295" name="PivotChartTable14"/>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lucose_Category" xr10:uid="{7F4082A8-5A1B-4E1F-97D1-EFA26C3A84DD}" sourceName="[Table1].[Glucose Category]">
  <pivotTables>
    <pivotTable tabId="6" name="PivotTable4"/>
    <pivotTable tabId="6" name="PivotTable1"/>
    <pivotTable tabId="6" name="PivotTable5"/>
    <pivotTable tabId="6" name="PivotTable7"/>
    <pivotTable tabId="6" name="PivotTable11"/>
    <pivotTable tabId="6" name="PivotTable12"/>
    <pivotTable tabId="6" name="PivotTable14"/>
    <pivotTable tabId="6" name="PivotTable15"/>
    <pivotTable tabId="6" name="PivotTable25"/>
  </pivotTables>
  <data>
    <olap pivotCacheId="457424776">
      <levels count="2">
        <level uniqueName="[Table1].[Glucose Category].[(All)]" sourceCaption="(All)" count="0"/>
        <level uniqueName="[Table1].[Glucose Category].[Glucose Category]" sourceCaption="Glucose Category" count="3">
          <ranges>
            <range startItem="0">
              <i n="[Table1].[Glucose Category].&amp;[High Risk]" c="High Risk"/>
              <i n="[Table1].[Glucose Category].&amp;[Normal]" c="Normal"/>
              <i n="[Table1].[Glucose Category].&amp;[Prediabetes]" c="Prediabetes"/>
            </range>
          </ranges>
        </level>
      </levels>
      <selections count="1">
        <selection n="[Table1].[Glucose Category].[All]"/>
      </selections>
    </olap>
  </data>
  <extLst>
    <x:ext xmlns:x15="http://schemas.microsoft.com/office/spreadsheetml/2010/11/main" uri="{03082B11-2C62-411c-B77F-237D8FCFBE4C}">
      <x15:slicerCachePivotTables>
        <pivotTable tabId="4294967295" name="PivotChartTable14"/>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306C3F3C-7B13-4F98-BA23-5BFAACE3711F}" cache="Slicer_Age_Group" caption="Age Group" level="1" rowHeight="365760"/>
  <slicer name="BMI Category 1" xr10:uid="{871925AB-94C2-46BF-ABFD-A63FC75A4D8B}" cache="Slicer_BMI_Category" caption="BMI Category" level="1" rowHeight="548640"/>
  <slicer name="Glucose Category 1" xr10:uid="{984437AF-5980-4F1E-B4CA-1E9BB715BF39}" cache="Slicer_Glucose_Category" caption="Glucose Category" level="1" lockedPosition="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FA06FE-440A-44FC-8451-75D55F9D1304}" name="Table1" displayName="Table1" ref="A1:L769" totalsRowShown="0">
  <autoFilter ref="A1:L769" xr:uid="{AA6FA7EB-FD56-4B30-9BB5-0E1C65F9A091}"/>
  <tableColumns count="12">
    <tableColumn id="1" xr3:uid="{327ACE9F-906C-429E-87A8-77E6F0B62F36}" name="Pregnancies"/>
    <tableColumn id="12" xr3:uid="{6CEDCEBF-D6C6-4DAD-93E1-D1163CC3CD2A}" name="Glucose Category" dataDxfId="880">
      <calculatedColumnFormula>IF(Table1[[#This Row],[Glucose]]&lt;100,"Normal",IF(Table1[[#This Row],[Glucose]]&lt;126,"Prediabetes","High Risk"))</calculatedColumnFormula>
    </tableColumn>
    <tableColumn id="2" xr3:uid="{38939A5B-C081-46A3-B89D-40DE4A8351A6}" name="Glucose"/>
    <tableColumn id="3" xr3:uid="{8CF2C622-05A4-4527-B55D-1CE62F9ED9CB}" name="BloodPressure"/>
    <tableColumn id="4" xr3:uid="{CFEC7EB0-E875-4DE0-9CF7-7371DC245D0D}" name="SkinThickness"/>
    <tableColumn id="5" xr3:uid="{4D94C843-26DB-4818-AB0C-79289B188B7F}" name="Insulin"/>
    <tableColumn id="11" xr3:uid="{9CC80D2F-E292-493B-92AF-57F62E14B816}" name="BMI Category" dataDxfId="879">
      <calculatedColumnFormula>IF(Table1[[#This Row],[BMI]]&lt;18.5,"Underweight",IF(Table1[[#This Row],[BMI]]&lt;25,"Normal",IF(Table1[[#This Row],[BMI]]&lt;30,"Overweight","Obese")))</calculatedColumnFormula>
    </tableColumn>
    <tableColumn id="6" xr3:uid="{724D7268-3246-4660-8B77-9C01F771E7DF}" name="BMI"/>
    <tableColumn id="7" xr3:uid="{2B7181F1-A38F-4E76-9882-9D5715ADE473}" name="DiabetesPedigreeFunction"/>
    <tableColumn id="10" xr3:uid="{68EE3E0F-390C-4853-BC55-C53945209063}" name="Age Group" dataDxfId="878">
      <calculatedColumnFormula>IF(Table1[[#This Row],[Age]]&lt;30,"Young (&lt;30)",IF(Table1[[#This Row],[Age]]&lt;=50,"Middle Age (30-50)","Older (&gt;50)"))</calculatedColumnFormula>
    </tableColumn>
    <tableColumn id="8" xr3:uid="{FF4C32A0-9B89-465A-A97C-E348D782A3BF}" name="Age"/>
    <tableColumn id="9" xr3:uid="{B4010958-894B-42A9-A10D-62CFCB6244F4}" name="Outcom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43377C7-44B9-4BDD-935A-1F8D97E9ABD8}" name="Table6" displayName="Table6" ref="A32:C36" totalsRowShown="0" headerRowDxfId="827" headerRowBorderDxfId="829" tableBorderDxfId="830" totalsRowBorderDxfId="828">
  <autoFilter ref="A32:C36" xr:uid="{A43377C7-44B9-4BDD-935A-1F8D97E9ABD8}"/>
  <tableColumns count="3">
    <tableColumn id="1" xr3:uid="{4AEDA483-EFAD-45FF-867B-C7197255CD57}" name="Risk Factor"/>
    <tableColumn id="2" xr3:uid="{AB4CAC74-F8BD-454C-BEB5-408766994C39}" name="Non-Diabetes "/>
    <tableColumn id="3" xr3:uid="{3401527A-C8C2-48CD-9B64-88B1DA1127BA}" name="Diabete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lumMod val="50000"/>
          </a:schemeClr>
        </a:solidFill>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table" Target="../tables/table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78C9E-E906-4141-A050-74FD1B814B96}">
  <dimension ref="A1:I769"/>
  <sheetViews>
    <sheetView workbookViewId="0">
      <selection activeCell="C9" sqref="C9"/>
    </sheetView>
  </sheetViews>
  <sheetFormatPr defaultRowHeight="14.4" x14ac:dyDescent="0.3"/>
  <cols>
    <col min="1" max="1" width="12.33203125" customWidth="1"/>
    <col min="2" max="2" width="10.88671875" customWidth="1"/>
    <col min="3" max="3" width="13" customWidth="1"/>
    <col min="4" max="4" width="12.44140625" customWidth="1"/>
    <col min="7" max="7" width="23" customWidth="1"/>
  </cols>
  <sheetData>
    <row r="1" spans="1:9" x14ac:dyDescent="0.3">
      <c r="A1" t="s">
        <v>0</v>
      </c>
      <c r="B1" t="s">
        <v>1</v>
      </c>
      <c r="C1" t="s">
        <v>2</v>
      </c>
      <c r="D1" t="s">
        <v>3</v>
      </c>
      <c r="E1" t="s">
        <v>4</v>
      </c>
      <c r="F1" t="s">
        <v>5</v>
      </c>
      <c r="G1" t="s">
        <v>6</v>
      </c>
      <c r="H1" t="s">
        <v>7</v>
      </c>
      <c r="I1" t="s">
        <v>8</v>
      </c>
    </row>
    <row r="2" spans="1:9" x14ac:dyDescent="0.3">
      <c r="A2">
        <v>6</v>
      </c>
      <c r="B2">
        <v>148</v>
      </c>
      <c r="C2">
        <v>72</v>
      </c>
      <c r="D2">
        <v>35</v>
      </c>
      <c r="E2">
        <v>0</v>
      </c>
      <c r="F2">
        <v>33.6</v>
      </c>
      <c r="G2">
        <v>0.627</v>
      </c>
      <c r="H2">
        <v>50</v>
      </c>
      <c r="I2">
        <v>1</v>
      </c>
    </row>
    <row r="3" spans="1:9" x14ac:dyDescent="0.3">
      <c r="A3">
        <v>1</v>
      </c>
      <c r="B3">
        <v>85</v>
      </c>
      <c r="C3">
        <v>66</v>
      </c>
      <c r="D3">
        <v>29</v>
      </c>
      <c r="E3">
        <v>0</v>
      </c>
      <c r="F3">
        <v>26.6</v>
      </c>
      <c r="G3">
        <v>0.35099999999999998</v>
      </c>
      <c r="H3">
        <v>31</v>
      </c>
      <c r="I3">
        <v>0</v>
      </c>
    </row>
    <row r="4" spans="1:9" x14ac:dyDescent="0.3">
      <c r="A4">
        <v>8</v>
      </c>
      <c r="B4">
        <v>183</v>
      </c>
      <c r="C4">
        <v>64</v>
      </c>
      <c r="D4">
        <v>0</v>
      </c>
      <c r="E4">
        <v>0</v>
      </c>
      <c r="F4">
        <v>23.3</v>
      </c>
      <c r="G4">
        <v>0.67200000000000004</v>
      </c>
      <c r="H4">
        <v>32</v>
      </c>
      <c r="I4">
        <v>1</v>
      </c>
    </row>
    <row r="5" spans="1:9" x14ac:dyDescent="0.3">
      <c r="A5">
        <v>1</v>
      </c>
      <c r="B5">
        <v>89</v>
      </c>
      <c r="C5">
        <v>66</v>
      </c>
      <c r="D5">
        <v>23</v>
      </c>
      <c r="E5">
        <v>94</v>
      </c>
      <c r="F5">
        <v>28.1</v>
      </c>
      <c r="G5">
        <v>0.16700000000000001</v>
      </c>
      <c r="H5">
        <v>21</v>
      </c>
      <c r="I5">
        <v>0</v>
      </c>
    </row>
    <row r="6" spans="1:9" x14ac:dyDescent="0.3">
      <c r="A6">
        <v>0</v>
      </c>
      <c r="B6">
        <v>137</v>
      </c>
      <c r="C6">
        <v>40</v>
      </c>
      <c r="D6">
        <v>35</v>
      </c>
      <c r="E6">
        <v>168</v>
      </c>
      <c r="F6">
        <v>43.1</v>
      </c>
      <c r="G6">
        <v>2.2879999999999998</v>
      </c>
      <c r="H6">
        <v>33</v>
      </c>
      <c r="I6">
        <v>1</v>
      </c>
    </row>
    <row r="7" spans="1:9" x14ac:dyDescent="0.3">
      <c r="A7">
        <v>5</v>
      </c>
      <c r="B7">
        <v>116</v>
      </c>
      <c r="C7">
        <v>74</v>
      </c>
      <c r="D7">
        <v>0</v>
      </c>
      <c r="E7">
        <v>0</v>
      </c>
      <c r="F7">
        <v>25.6</v>
      </c>
      <c r="G7">
        <v>0.20100000000000001</v>
      </c>
      <c r="H7">
        <v>30</v>
      </c>
      <c r="I7">
        <v>0</v>
      </c>
    </row>
    <row r="8" spans="1:9" x14ac:dyDescent="0.3">
      <c r="A8">
        <v>3</v>
      </c>
      <c r="B8">
        <v>78</v>
      </c>
      <c r="C8">
        <v>50</v>
      </c>
      <c r="D8">
        <v>32</v>
      </c>
      <c r="E8">
        <v>88</v>
      </c>
      <c r="F8">
        <v>31</v>
      </c>
      <c r="G8">
        <v>0.248</v>
      </c>
      <c r="H8">
        <v>26</v>
      </c>
      <c r="I8">
        <v>1</v>
      </c>
    </row>
    <row r="9" spans="1:9" x14ac:dyDescent="0.3">
      <c r="A9">
        <v>10</v>
      </c>
      <c r="B9">
        <v>115</v>
      </c>
      <c r="C9">
        <v>0</v>
      </c>
      <c r="D9">
        <v>0</v>
      </c>
      <c r="E9">
        <v>0</v>
      </c>
      <c r="F9">
        <v>35.299999999999997</v>
      </c>
      <c r="G9">
        <v>0.13400000000000001</v>
      </c>
      <c r="H9">
        <v>29</v>
      </c>
      <c r="I9">
        <v>0</v>
      </c>
    </row>
    <row r="10" spans="1:9" x14ac:dyDescent="0.3">
      <c r="A10">
        <v>2</v>
      </c>
      <c r="B10">
        <v>197</v>
      </c>
      <c r="C10">
        <v>70</v>
      </c>
      <c r="D10">
        <v>45</v>
      </c>
      <c r="E10">
        <v>543</v>
      </c>
      <c r="F10">
        <v>30.5</v>
      </c>
      <c r="G10">
        <v>0.158</v>
      </c>
      <c r="H10">
        <v>53</v>
      </c>
      <c r="I10">
        <v>1</v>
      </c>
    </row>
    <row r="11" spans="1:9" x14ac:dyDescent="0.3">
      <c r="A11">
        <v>8</v>
      </c>
      <c r="B11">
        <v>125</v>
      </c>
      <c r="C11">
        <v>96</v>
      </c>
      <c r="D11">
        <v>0</v>
      </c>
      <c r="E11">
        <v>0</v>
      </c>
      <c r="F11">
        <v>0</v>
      </c>
      <c r="G11">
        <v>0.23200000000000001</v>
      </c>
      <c r="H11">
        <v>54</v>
      </c>
      <c r="I11">
        <v>1</v>
      </c>
    </row>
    <row r="12" spans="1:9" x14ac:dyDescent="0.3">
      <c r="A12">
        <v>4</v>
      </c>
      <c r="B12">
        <v>110</v>
      </c>
      <c r="C12">
        <v>92</v>
      </c>
      <c r="D12">
        <v>0</v>
      </c>
      <c r="E12">
        <v>0</v>
      </c>
      <c r="F12">
        <v>37.6</v>
      </c>
      <c r="G12">
        <v>0.191</v>
      </c>
      <c r="H12">
        <v>30</v>
      </c>
      <c r="I12">
        <v>0</v>
      </c>
    </row>
    <row r="13" spans="1:9" x14ac:dyDescent="0.3">
      <c r="A13">
        <v>10</v>
      </c>
      <c r="B13">
        <v>168</v>
      </c>
      <c r="C13">
        <v>74</v>
      </c>
      <c r="D13">
        <v>0</v>
      </c>
      <c r="E13">
        <v>0</v>
      </c>
      <c r="F13">
        <v>38</v>
      </c>
      <c r="G13">
        <v>0.53700000000000003</v>
      </c>
      <c r="H13">
        <v>34</v>
      </c>
      <c r="I13">
        <v>1</v>
      </c>
    </row>
    <row r="14" spans="1:9" x14ac:dyDescent="0.3">
      <c r="A14">
        <v>10</v>
      </c>
      <c r="B14">
        <v>139</v>
      </c>
      <c r="C14">
        <v>80</v>
      </c>
      <c r="D14">
        <v>0</v>
      </c>
      <c r="E14">
        <v>0</v>
      </c>
      <c r="F14">
        <v>27.1</v>
      </c>
      <c r="G14">
        <v>1.4410000000000001</v>
      </c>
      <c r="H14">
        <v>57</v>
      </c>
      <c r="I14">
        <v>0</v>
      </c>
    </row>
    <row r="15" spans="1:9" x14ac:dyDescent="0.3">
      <c r="A15">
        <v>1</v>
      </c>
      <c r="B15">
        <v>189</v>
      </c>
      <c r="C15">
        <v>60</v>
      </c>
      <c r="D15">
        <v>23</v>
      </c>
      <c r="E15">
        <v>846</v>
      </c>
      <c r="F15">
        <v>30.1</v>
      </c>
      <c r="G15">
        <v>0.39800000000000002</v>
      </c>
      <c r="H15">
        <v>59</v>
      </c>
      <c r="I15">
        <v>1</v>
      </c>
    </row>
    <row r="16" spans="1:9" x14ac:dyDescent="0.3">
      <c r="A16">
        <v>5</v>
      </c>
      <c r="B16">
        <v>166</v>
      </c>
      <c r="C16">
        <v>72</v>
      </c>
      <c r="D16">
        <v>19</v>
      </c>
      <c r="E16">
        <v>175</v>
      </c>
      <c r="F16">
        <v>25.8</v>
      </c>
      <c r="G16">
        <v>0.58699999999999997</v>
      </c>
      <c r="H16">
        <v>51</v>
      </c>
      <c r="I16">
        <v>1</v>
      </c>
    </row>
    <row r="17" spans="1:9" x14ac:dyDescent="0.3">
      <c r="A17">
        <v>7</v>
      </c>
      <c r="B17">
        <v>100</v>
      </c>
      <c r="C17">
        <v>0</v>
      </c>
      <c r="D17">
        <v>0</v>
      </c>
      <c r="E17">
        <v>0</v>
      </c>
      <c r="F17">
        <v>30</v>
      </c>
      <c r="G17">
        <v>0.48399999999999999</v>
      </c>
      <c r="H17">
        <v>32</v>
      </c>
      <c r="I17">
        <v>1</v>
      </c>
    </row>
    <row r="18" spans="1:9" x14ac:dyDescent="0.3">
      <c r="A18">
        <v>0</v>
      </c>
      <c r="B18">
        <v>118</v>
      </c>
      <c r="C18">
        <v>84</v>
      </c>
      <c r="D18">
        <v>47</v>
      </c>
      <c r="E18">
        <v>230</v>
      </c>
      <c r="F18">
        <v>45.8</v>
      </c>
      <c r="G18">
        <v>0.55100000000000005</v>
      </c>
      <c r="H18">
        <v>31</v>
      </c>
      <c r="I18">
        <v>1</v>
      </c>
    </row>
    <row r="19" spans="1:9" x14ac:dyDescent="0.3">
      <c r="A19">
        <v>7</v>
      </c>
      <c r="B19">
        <v>107</v>
      </c>
      <c r="C19">
        <v>74</v>
      </c>
      <c r="D19">
        <v>0</v>
      </c>
      <c r="E19">
        <v>0</v>
      </c>
      <c r="F19">
        <v>29.6</v>
      </c>
      <c r="G19">
        <v>0.254</v>
      </c>
      <c r="H19">
        <v>31</v>
      </c>
      <c r="I19">
        <v>1</v>
      </c>
    </row>
    <row r="20" spans="1:9" x14ac:dyDescent="0.3">
      <c r="A20">
        <v>1</v>
      </c>
      <c r="B20">
        <v>103</v>
      </c>
      <c r="C20">
        <v>30</v>
      </c>
      <c r="D20">
        <v>38</v>
      </c>
      <c r="E20">
        <v>83</v>
      </c>
      <c r="F20">
        <v>43.3</v>
      </c>
      <c r="G20">
        <v>0.183</v>
      </c>
      <c r="H20">
        <v>33</v>
      </c>
      <c r="I20">
        <v>0</v>
      </c>
    </row>
    <row r="21" spans="1:9" x14ac:dyDescent="0.3">
      <c r="A21">
        <v>1</v>
      </c>
      <c r="B21">
        <v>115</v>
      </c>
      <c r="C21">
        <v>70</v>
      </c>
      <c r="D21">
        <v>30</v>
      </c>
      <c r="E21">
        <v>96</v>
      </c>
      <c r="F21">
        <v>34.6</v>
      </c>
      <c r="G21">
        <v>0.52900000000000003</v>
      </c>
      <c r="H21">
        <v>32</v>
      </c>
      <c r="I21">
        <v>1</v>
      </c>
    </row>
    <row r="22" spans="1:9" x14ac:dyDescent="0.3">
      <c r="A22">
        <v>3</v>
      </c>
      <c r="B22">
        <v>126</v>
      </c>
      <c r="C22">
        <v>88</v>
      </c>
      <c r="D22">
        <v>41</v>
      </c>
      <c r="E22">
        <v>235</v>
      </c>
      <c r="F22">
        <v>39.299999999999997</v>
      </c>
      <c r="G22">
        <v>0.70399999999999996</v>
      </c>
      <c r="H22">
        <v>27</v>
      </c>
      <c r="I22">
        <v>0</v>
      </c>
    </row>
    <row r="23" spans="1:9" x14ac:dyDescent="0.3">
      <c r="A23">
        <v>8</v>
      </c>
      <c r="B23">
        <v>99</v>
      </c>
      <c r="C23">
        <v>84</v>
      </c>
      <c r="D23">
        <v>0</v>
      </c>
      <c r="E23">
        <v>0</v>
      </c>
      <c r="F23">
        <v>35.4</v>
      </c>
      <c r="G23">
        <v>0.38800000000000001</v>
      </c>
      <c r="H23">
        <v>50</v>
      </c>
      <c r="I23">
        <v>0</v>
      </c>
    </row>
    <row r="24" spans="1:9" x14ac:dyDescent="0.3">
      <c r="A24">
        <v>7</v>
      </c>
      <c r="B24">
        <v>196</v>
      </c>
      <c r="C24">
        <v>90</v>
      </c>
      <c r="D24">
        <v>0</v>
      </c>
      <c r="E24">
        <v>0</v>
      </c>
      <c r="F24">
        <v>39.799999999999997</v>
      </c>
      <c r="G24">
        <v>0.45100000000000001</v>
      </c>
      <c r="H24">
        <v>41</v>
      </c>
      <c r="I24">
        <v>1</v>
      </c>
    </row>
    <row r="25" spans="1:9" x14ac:dyDescent="0.3">
      <c r="A25">
        <v>9</v>
      </c>
      <c r="B25">
        <v>119</v>
      </c>
      <c r="C25">
        <v>80</v>
      </c>
      <c r="D25">
        <v>35</v>
      </c>
      <c r="E25">
        <v>0</v>
      </c>
      <c r="F25">
        <v>29</v>
      </c>
      <c r="G25">
        <v>0.26300000000000001</v>
      </c>
      <c r="H25">
        <v>29</v>
      </c>
      <c r="I25">
        <v>1</v>
      </c>
    </row>
    <row r="26" spans="1:9" x14ac:dyDescent="0.3">
      <c r="A26">
        <v>11</v>
      </c>
      <c r="B26">
        <v>143</v>
      </c>
      <c r="C26">
        <v>94</v>
      </c>
      <c r="D26">
        <v>33</v>
      </c>
      <c r="E26">
        <v>146</v>
      </c>
      <c r="F26">
        <v>36.6</v>
      </c>
      <c r="G26">
        <v>0.254</v>
      </c>
      <c r="H26">
        <v>51</v>
      </c>
      <c r="I26">
        <v>1</v>
      </c>
    </row>
    <row r="27" spans="1:9" x14ac:dyDescent="0.3">
      <c r="A27">
        <v>10</v>
      </c>
      <c r="B27">
        <v>125</v>
      </c>
      <c r="C27">
        <v>70</v>
      </c>
      <c r="D27">
        <v>26</v>
      </c>
      <c r="E27">
        <v>115</v>
      </c>
      <c r="F27">
        <v>31.1</v>
      </c>
      <c r="G27">
        <v>0.20499999999999999</v>
      </c>
      <c r="H27">
        <v>41</v>
      </c>
      <c r="I27">
        <v>1</v>
      </c>
    </row>
    <row r="28" spans="1:9" x14ac:dyDescent="0.3">
      <c r="A28">
        <v>7</v>
      </c>
      <c r="B28">
        <v>147</v>
      </c>
      <c r="C28">
        <v>76</v>
      </c>
      <c r="D28">
        <v>0</v>
      </c>
      <c r="E28">
        <v>0</v>
      </c>
      <c r="F28">
        <v>39.4</v>
      </c>
      <c r="G28">
        <v>0.25700000000000001</v>
      </c>
      <c r="H28">
        <v>43</v>
      </c>
      <c r="I28">
        <v>1</v>
      </c>
    </row>
    <row r="29" spans="1:9" x14ac:dyDescent="0.3">
      <c r="A29">
        <v>1</v>
      </c>
      <c r="B29">
        <v>97</v>
      </c>
      <c r="C29">
        <v>66</v>
      </c>
      <c r="D29">
        <v>15</v>
      </c>
      <c r="E29">
        <v>140</v>
      </c>
      <c r="F29">
        <v>23.2</v>
      </c>
      <c r="G29">
        <v>0.48699999999999999</v>
      </c>
      <c r="H29">
        <v>22</v>
      </c>
      <c r="I29">
        <v>0</v>
      </c>
    </row>
    <row r="30" spans="1:9" x14ac:dyDescent="0.3">
      <c r="A30">
        <v>13</v>
      </c>
      <c r="B30">
        <v>145</v>
      </c>
      <c r="C30">
        <v>82</v>
      </c>
      <c r="D30">
        <v>19</v>
      </c>
      <c r="E30">
        <v>110</v>
      </c>
      <c r="F30">
        <v>22.2</v>
      </c>
      <c r="G30">
        <v>0.245</v>
      </c>
      <c r="H30">
        <v>57</v>
      </c>
      <c r="I30">
        <v>0</v>
      </c>
    </row>
    <row r="31" spans="1:9" x14ac:dyDescent="0.3">
      <c r="A31">
        <v>5</v>
      </c>
      <c r="B31">
        <v>117</v>
      </c>
      <c r="C31">
        <v>92</v>
      </c>
      <c r="D31">
        <v>0</v>
      </c>
      <c r="E31">
        <v>0</v>
      </c>
      <c r="F31">
        <v>34.1</v>
      </c>
      <c r="G31">
        <v>0.33700000000000002</v>
      </c>
      <c r="H31">
        <v>38</v>
      </c>
      <c r="I31">
        <v>0</v>
      </c>
    </row>
    <row r="32" spans="1:9" x14ac:dyDescent="0.3">
      <c r="A32">
        <v>5</v>
      </c>
      <c r="B32">
        <v>109</v>
      </c>
      <c r="C32">
        <v>75</v>
      </c>
      <c r="D32">
        <v>26</v>
      </c>
      <c r="E32">
        <v>0</v>
      </c>
      <c r="F32">
        <v>36</v>
      </c>
      <c r="G32">
        <v>0.54600000000000004</v>
      </c>
      <c r="H32">
        <v>60</v>
      </c>
      <c r="I32">
        <v>0</v>
      </c>
    </row>
    <row r="33" spans="1:9" x14ac:dyDescent="0.3">
      <c r="A33">
        <v>3</v>
      </c>
      <c r="B33">
        <v>158</v>
      </c>
      <c r="C33">
        <v>76</v>
      </c>
      <c r="D33">
        <v>36</v>
      </c>
      <c r="E33">
        <v>245</v>
      </c>
      <c r="F33">
        <v>31.6</v>
      </c>
      <c r="G33">
        <v>0.85099999999999998</v>
      </c>
      <c r="H33">
        <v>28</v>
      </c>
      <c r="I33">
        <v>1</v>
      </c>
    </row>
    <row r="34" spans="1:9" x14ac:dyDescent="0.3">
      <c r="A34">
        <v>3</v>
      </c>
      <c r="B34">
        <v>88</v>
      </c>
      <c r="C34">
        <v>58</v>
      </c>
      <c r="D34">
        <v>11</v>
      </c>
      <c r="E34">
        <v>54</v>
      </c>
      <c r="F34">
        <v>24.8</v>
      </c>
      <c r="G34">
        <v>0.26700000000000002</v>
      </c>
      <c r="H34">
        <v>22</v>
      </c>
      <c r="I34">
        <v>0</v>
      </c>
    </row>
    <row r="35" spans="1:9" x14ac:dyDescent="0.3">
      <c r="A35">
        <v>6</v>
      </c>
      <c r="B35">
        <v>92</v>
      </c>
      <c r="C35">
        <v>92</v>
      </c>
      <c r="D35">
        <v>0</v>
      </c>
      <c r="E35">
        <v>0</v>
      </c>
      <c r="F35">
        <v>19.899999999999999</v>
      </c>
      <c r="G35">
        <v>0.188</v>
      </c>
      <c r="H35">
        <v>28</v>
      </c>
      <c r="I35">
        <v>0</v>
      </c>
    </row>
    <row r="36" spans="1:9" x14ac:dyDescent="0.3">
      <c r="A36">
        <v>10</v>
      </c>
      <c r="B36">
        <v>122</v>
      </c>
      <c r="C36">
        <v>78</v>
      </c>
      <c r="D36">
        <v>31</v>
      </c>
      <c r="E36">
        <v>0</v>
      </c>
      <c r="F36">
        <v>27.6</v>
      </c>
      <c r="G36">
        <v>0.51200000000000001</v>
      </c>
      <c r="H36">
        <v>45</v>
      </c>
      <c r="I36">
        <v>0</v>
      </c>
    </row>
    <row r="37" spans="1:9" x14ac:dyDescent="0.3">
      <c r="A37">
        <v>4</v>
      </c>
      <c r="B37">
        <v>103</v>
      </c>
      <c r="C37">
        <v>60</v>
      </c>
      <c r="D37">
        <v>33</v>
      </c>
      <c r="E37">
        <v>192</v>
      </c>
      <c r="F37">
        <v>24</v>
      </c>
      <c r="G37">
        <v>0.96599999999999997</v>
      </c>
      <c r="H37">
        <v>33</v>
      </c>
      <c r="I37">
        <v>0</v>
      </c>
    </row>
    <row r="38" spans="1:9" x14ac:dyDescent="0.3">
      <c r="A38">
        <v>11</v>
      </c>
      <c r="B38">
        <v>138</v>
      </c>
      <c r="C38">
        <v>76</v>
      </c>
      <c r="D38">
        <v>0</v>
      </c>
      <c r="E38">
        <v>0</v>
      </c>
      <c r="F38">
        <v>33.200000000000003</v>
      </c>
      <c r="G38">
        <v>0.42</v>
      </c>
      <c r="H38">
        <v>35</v>
      </c>
      <c r="I38">
        <v>0</v>
      </c>
    </row>
    <row r="39" spans="1:9" x14ac:dyDescent="0.3">
      <c r="A39">
        <v>9</v>
      </c>
      <c r="B39">
        <v>102</v>
      </c>
      <c r="C39">
        <v>76</v>
      </c>
      <c r="D39">
        <v>37</v>
      </c>
      <c r="E39">
        <v>0</v>
      </c>
      <c r="F39">
        <v>32.9</v>
      </c>
      <c r="G39">
        <v>0.66500000000000004</v>
      </c>
      <c r="H39">
        <v>46</v>
      </c>
      <c r="I39">
        <v>1</v>
      </c>
    </row>
    <row r="40" spans="1:9" x14ac:dyDescent="0.3">
      <c r="A40">
        <v>2</v>
      </c>
      <c r="B40">
        <v>90</v>
      </c>
      <c r="C40">
        <v>68</v>
      </c>
      <c r="D40">
        <v>42</v>
      </c>
      <c r="E40">
        <v>0</v>
      </c>
      <c r="F40">
        <v>38.200000000000003</v>
      </c>
      <c r="G40">
        <v>0.503</v>
      </c>
      <c r="H40">
        <v>27</v>
      </c>
      <c r="I40">
        <v>1</v>
      </c>
    </row>
    <row r="41" spans="1:9" x14ac:dyDescent="0.3">
      <c r="A41">
        <v>4</v>
      </c>
      <c r="B41">
        <v>111</v>
      </c>
      <c r="C41">
        <v>72</v>
      </c>
      <c r="D41">
        <v>47</v>
      </c>
      <c r="E41">
        <v>207</v>
      </c>
      <c r="F41">
        <v>37.1</v>
      </c>
      <c r="G41">
        <v>1.39</v>
      </c>
      <c r="H41">
        <v>56</v>
      </c>
      <c r="I41">
        <v>1</v>
      </c>
    </row>
    <row r="42" spans="1:9" x14ac:dyDescent="0.3">
      <c r="A42">
        <v>3</v>
      </c>
      <c r="B42">
        <v>180</v>
      </c>
      <c r="C42">
        <v>64</v>
      </c>
      <c r="D42">
        <v>25</v>
      </c>
      <c r="E42">
        <v>70</v>
      </c>
      <c r="F42">
        <v>34</v>
      </c>
      <c r="G42">
        <v>0.27100000000000002</v>
      </c>
      <c r="H42">
        <v>26</v>
      </c>
      <c r="I42">
        <v>0</v>
      </c>
    </row>
    <row r="43" spans="1:9" x14ac:dyDescent="0.3">
      <c r="A43">
        <v>7</v>
      </c>
      <c r="B43">
        <v>133</v>
      </c>
      <c r="C43">
        <v>84</v>
      </c>
      <c r="D43">
        <v>0</v>
      </c>
      <c r="E43">
        <v>0</v>
      </c>
      <c r="F43">
        <v>40.200000000000003</v>
      </c>
      <c r="G43">
        <v>0.69599999999999995</v>
      </c>
      <c r="H43">
        <v>37</v>
      </c>
      <c r="I43">
        <v>0</v>
      </c>
    </row>
    <row r="44" spans="1:9" x14ac:dyDescent="0.3">
      <c r="A44">
        <v>7</v>
      </c>
      <c r="B44">
        <v>106</v>
      </c>
      <c r="C44">
        <v>92</v>
      </c>
      <c r="D44">
        <v>18</v>
      </c>
      <c r="E44">
        <v>0</v>
      </c>
      <c r="F44">
        <v>22.7</v>
      </c>
      <c r="G44">
        <v>0.23499999999999999</v>
      </c>
      <c r="H44">
        <v>48</v>
      </c>
      <c r="I44">
        <v>0</v>
      </c>
    </row>
    <row r="45" spans="1:9" x14ac:dyDescent="0.3">
      <c r="A45">
        <v>9</v>
      </c>
      <c r="B45">
        <v>171</v>
      </c>
      <c r="C45">
        <v>110</v>
      </c>
      <c r="D45">
        <v>24</v>
      </c>
      <c r="E45">
        <v>240</v>
      </c>
      <c r="F45">
        <v>45.4</v>
      </c>
      <c r="G45">
        <v>0.72099999999999997</v>
      </c>
      <c r="H45">
        <v>54</v>
      </c>
      <c r="I45">
        <v>1</v>
      </c>
    </row>
    <row r="46" spans="1:9" x14ac:dyDescent="0.3">
      <c r="A46">
        <v>7</v>
      </c>
      <c r="B46">
        <v>159</v>
      </c>
      <c r="C46">
        <v>64</v>
      </c>
      <c r="D46">
        <v>0</v>
      </c>
      <c r="E46">
        <v>0</v>
      </c>
      <c r="F46">
        <v>27.4</v>
      </c>
      <c r="G46">
        <v>0.29399999999999998</v>
      </c>
      <c r="H46">
        <v>40</v>
      </c>
      <c r="I46">
        <v>0</v>
      </c>
    </row>
    <row r="47" spans="1:9" x14ac:dyDescent="0.3">
      <c r="A47">
        <v>0</v>
      </c>
      <c r="B47">
        <v>180</v>
      </c>
      <c r="C47">
        <v>66</v>
      </c>
      <c r="D47">
        <v>39</v>
      </c>
      <c r="E47">
        <v>0</v>
      </c>
      <c r="F47">
        <v>42</v>
      </c>
      <c r="G47">
        <v>1.893</v>
      </c>
      <c r="H47">
        <v>25</v>
      </c>
      <c r="I47">
        <v>1</v>
      </c>
    </row>
    <row r="48" spans="1:9" x14ac:dyDescent="0.3">
      <c r="A48">
        <v>1</v>
      </c>
      <c r="B48">
        <v>146</v>
      </c>
      <c r="C48">
        <v>56</v>
      </c>
      <c r="D48">
        <v>0</v>
      </c>
      <c r="E48">
        <v>0</v>
      </c>
      <c r="F48">
        <v>29.7</v>
      </c>
      <c r="G48">
        <v>0.56399999999999995</v>
      </c>
      <c r="H48">
        <v>29</v>
      </c>
      <c r="I48">
        <v>0</v>
      </c>
    </row>
    <row r="49" spans="1:9" x14ac:dyDescent="0.3">
      <c r="A49">
        <v>2</v>
      </c>
      <c r="B49">
        <v>71</v>
      </c>
      <c r="C49">
        <v>70</v>
      </c>
      <c r="D49">
        <v>27</v>
      </c>
      <c r="E49">
        <v>0</v>
      </c>
      <c r="F49">
        <v>28</v>
      </c>
      <c r="G49">
        <v>0.58599999999999997</v>
      </c>
      <c r="H49">
        <v>22</v>
      </c>
      <c r="I49">
        <v>0</v>
      </c>
    </row>
    <row r="50" spans="1:9" x14ac:dyDescent="0.3">
      <c r="A50">
        <v>7</v>
      </c>
      <c r="B50">
        <v>103</v>
      </c>
      <c r="C50">
        <v>66</v>
      </c>
      <c r="D50">
        <v>32</v>
      </c>
      <c r="E50">
        <v>0</v>
      </c>
      <c r="F50">
        <v>39.1</v>
      </c>
      <c r="G50">
        <v>0.34399999999999997</v>
      </c>
      <c r="H50">
        <v>31</v>
      </c>
      <c r="I50">
        <v>1</v>
      </c>
    </row>
    <row r="51" spans="1:9" x14ac:dyDescent="0.3">
      <c r="A51">
        <v>7</v>
      </c>
      <c r="B51">
        <v>105</v>
      </c>
      <c r="C51">
        <v>0</v>
      </c>
      <c r="D51">
        <v>0</v>
      </c>
      <c r="E51">
        <v>0</v>
      </c>
      <c r="F51">
        <v>0</v>
      </c>
      <c r="G51">
        <v>0.30499999999999999</v>
      </c>
      <c r="H51">
        <v>24</v>
      </c>
      <c r="I51">
        <v>0</v>
      </c>
    </row>
    <row r="52" spans="1:9" x14ac:dyDescent="0.3">
      <c r="A52">
        <v>1</v>
      </c>
      <c r="B52">
        <v>103</v>
      </c>
      <c r="C52">
        <v>80</v>
      </c>
      <c r="D52">
        <v>11</v>
      </c>
      <c r="E52">
        <v>82</v>
      </c>
      <c r="F52">
        <v>19.399999999999999</v>
      </c>
      <c r="G52">
        <v>0.49099999999999999</v>
      </c>
      <c r="H52">
        <v>22</v>
      </c>
      <c r="I52">
        <v>0</v>
      </c>
    </row>
    <row r="53" spans="1:9" x14ac:dyDescent="0.3">
      <c r="A53">
        <v>1</v>
      </c>
      <c r="B53">
        <v>101</v>
      </c>
      <c r="C53">
        <v>50</v>
      </c>
      <c r="D53">
        <v>15</v>
      </c>
      <c r="E53">
        <v>36</v>
      </c>
      <c r="F53">
        <v>24.2</v>
      </c>
      <c r="G53">
        <v>0.52600000000000002</v>
      </c>
      <c r="H53">
        <v>26</v>
      </c>
      <c r="I53">
        <v>0</v>
      </c>
    </row>
    <row r="54" spans="1:9" x14ac:dyDescent="0.3">
      <c r="A54">
        <v>5</v>
      </c>
      <c r="B54">
        <v>88</v>
      </c>
      <c r="C54">
        <v>66</v>
      </c>
      <c r="D54">
        <v>21</v>
      </c>
      <c r="E54">
        <v>23</v>
      </c>
      <c r="F54">
        <v>24.4</v>
      </c>
      <c r="G54">
        <v>0.34200000000000003</v>
      </c>
      <c r="H54">
        <v>30</v>
      </c>
      <c r="I54">
        <v>0</v>
      </c>
    </row>
    <row r="55" spans="1:9" x14ac:dyDescent="0.3">
      <c r="A55">
        <v>8</v>
      </c>
      <c r="B55">
        <v>176</v>
      </c>
      <c r="C55">
        <v>90</v>
      </c>
      <c r="D55">
        <v>34</v>
      </c>
      <c r="E55">
        <v>300</v>
      </c>
      <c r="F55">
        <v>33.700000000000003</v>
      </c>
      <c r="G55">
        <v>0.46700000000000003</v>
      </c>
      <c r="H55">
        <v>58</v>
      </c>
      <c r="I55">
        <v>1</v>
      </c>
    </row>
    <row r="56" spans="1:9" x14ac:dyDescent="0.3">
      <c r="A56">
        <v>7</v>
      </c>
      <c r="B56">
        <v>150</v>
      </c>
      <c r="C56">
        <v>66</v>
      </c>
      <c r="D56">
        <v>42</v>
      </c>
      <c r="E56">
        <v>342</v>
      </c>
      <c r="F56">
        <v>34.700000000000003</v>
      </c>
      <c r="G56">
        <v>0.71799999999999997</v>
      </c>
      <c r="H56">
        <v>42</v>
      </c>
      <c r="I56">
        <v>0</v>
      </c>
    </row>
    <row r="57" spans="1:9" x14ac:dyDescent="0.3">
      <c r="A57">
        <v>1</v>
      </c>
      <c r="B57">
        <v>73</v>
      </c>
      <c r="C57">
        <v>50</v>
      </c>
      <c r="D57">
        <v>10</v>
      </c>
      <c r="E57">
        <v>0</v>
      </c>
      <c r="F57">
        <v>23</v>
      </c>
      <c r="G57">
        <v>0.248</v>
      </c>
      <c r="H57">
        <v>21</v>
      </c>
      <c r="I57">
        <v>0</v>
      </c>
    </row>
    <row r="58" spans="1:9" x14ac:dyDescent="0.3">
      <c r="A58">
        <v>7</v>
      </c>
      <c r="B58">
        <v>187</v>
      </c>
      <c r="C58">
        <v>68</v>
      </c>
      <c r="D58">
        <v>39</v>
      </c>
      <c r="E58">
        <v>304</v>
      </c>
      <c r="F58">
        <v>37.700000000000003</v>
      </c>
      <c r="G58">
        <v>0.254</v>
      </c>
      <c r="H58">
        <v>41</v>
      </c>
      <c r="I58">
        <v>1</v>
      </c>
    </row>
    <row r="59" spans="1:9" x14ac:dyDescent="0.3">
      <c r="A59">
        <v>0</v>
      </c>
      <c r="B59">
        <v>100</v>
      </c>
      <c r="C59">
        <v>88</v>
      </c>
      <c r="D59">
        <v>60</v>
      </c>
      <c r="E59">
        <v>110</v>
      </c>
      <c r="F59">
        <v>46.8</v>
      </c>
      <c r="G59">
        <v>0.96199999999999997</v>
      </c>
      <c r="H59">
        <v>31</v>
      </c>
      <c r="I59">
        <v>0</v>
      </c>
    </row>
    <row r="60" spans="1:9" x14ac:dyDescent="0.3">
      <c r="A60">
        <v>0</v>
      </c>
      <c r="B60">
        <v>146</v>
      </c>
      <c r="C60">
        <v>82</v>
      </c>
      <c r="D60">
        <v>0</v>
      </c>
      <c r="E60">
        <v>0</v>
      </c>
      <c r="F60">
        <v>40.5</v>
      </c>
      <c r="G60">
        <v>1.7809999999999999</v>
      </c>
      <c r="H60">
        <v>44</v>
      </c>
      <c r="I60">
        <v>0</v>
      </c>
    </row>
    <row r="61" spans="1:9" x14ac:dyDescent="0.3">
      <c r="A61">
        <v>0</v>
      </c>
      <c r="B61">
        <v>105</v>
      </c>
      <c r="C61">
        <v>64</v>
      </c>
      <c r="D61">
        <v>41</v>
      </c>
      <c r="E61">
        <v>142</v>
      </c>
      <c r="F61">
        <v>41.5</v>
      </c>
      <c r="G61">
        <v>0.17299999999999999</v>
      </c>
      <c r="H61">
        <v>22</v>
      </c>
      <c r="I61">
        <v>0</v>
      </c>
    </row>
    <row r="62" spans="1:9" x14ac:dyDescent="0.3">
      <c r="A62">
        <v>2</v>
      </c>
      <c r="B62">
        <v>84</v>
      </c>
      <c r="C62">
        <v>0</v>
      </c>
      <c r="D62">
        <v>0</v>
      </c>
      <c r="E62">
        <v>0</v>
      </c>
      <c r="F62">
        <v>0</v>
      </c>
      <c r="G62">
        <v>0.30399999999999999</v>
      </c>
      <c r="H62">
        <v>21</v>
      </c>
      <c r="I62">
        <v>0</v>
      </c>
    </row>
    <row r="63" spans="1:9" x14ac:dyDescent="0.3">
      <c r="A63">
        <v>8</v>
      </c>
      <c r="B63">
        <v>133</v>
      </c>
      <c r="C63">
        <v>72</v>
      </c>
      <c r="D63">
        <v>0</v>
      </c>
      <c r="E63">
        <v>0</v>
      </c>
      <c r="F63">
        <v>32.9</v>
      </c>
      <c r="G63">
        <v>0.27</v>
      </c>
      <c r="H63">
        <v>39</v>
      </c>
      <c r="I63">
        <v>1</v>
      </c>
    </row>
    <row r="64" spans="1:9" x14ac:dyDescent="0.3">
      <c r="A64">
        <v>5</v>
      </c>
      <c r="B64">
        <v>44</v>
      </c>
      <c r="C64">
        <v>62</v>
      </c>
      <c r="D64">
        <v>0</v>
      </c>
      <c r="E64">
        <v>0</v>
      </c>
      <c r="F64">
        <v>25</v>
      </c>
      <c r="G64">
        <v>0.58699999999999997</v>
      </c>
      <c r="H64">
        <v>36</v>
      </c>
      <c r="I64">
        <v>0</v>
      </c>
    </row>
    <row r="65" spans="1:9" x14ac:dyDescent="0.3">
      <c r="A65">
        <v>2</v>
      </c>
      <c r="B65">
        <v>141</v>
      </c>
      <c r="C65">
        <v>58</v>
      </c>
      <c r="D65">
        <v>34</v>
      </c>
      <c r="E65">
        <v>128</v>
      </c>
      <c r="F65">
        <v>25.4</v>
      </c>
      <c r="G65">
        <v>0.69899999999999995</v>
      </c>
      <c r="H65">
        <v>24</v>
      </c>
      <c r="I65">
        <v>0</v>
      </c>
    </row>
    <row r="66" spans="1:9" x14ac:dyDescent="0.3">
      <c r="A66">
        <v>7</v>
      </c>
      <c r="B66">
        <v>114</v>
      </c>
      <c r="C66">
        <v>66</v>
      </c>
      <c r="D66">
        <v>0</v>
      </c>
      <c r="E66">
        <v>0</v>
      </c>
      <c r="F66">
        <v>32.799999999999997</v>
      </c>
      <c r="G66">
        <v>0.25800000000000001</v>
      </c>
      <c r="H66">
        <v>42</v>
      </c>
      <c r="I66">
        <v>1</v>
      </c>
    </row>
    <row r="67" spans="1:9" x14ac:dyDescent="0.3">
      <c r="A67">
        <v>5</v>
      </c>
      <c r="B67">
        <v>99</v>
      </c>
      <c r="C67">
        <v>74</v>
      </c>
      <c r="D67">
        <v>27</v>
      </c>
      <c r="E67">
        <v>0</v>
      </c>
      <c r="F67">
        <v>29</v>
      </c>
      <c r="G67">
        <v>0.20300000000000001</v>
      </c>
      <c r="H67">
        <v>32</v>
      </c>
      <c r="I67">
        <v>0</v>
      </c>
    </row>
    <row r="68" spans="1:9" x14ac:dyDescent="0.3">
      <c r="A68">
        <v>0</v>
      </c>
      <c r="B68">
        <v>109</v>
      </c>
      <c r="C68">
        <v>88</v>
      </c>
      <c r="D68">
        <v>30</v>
      </c>
      <c r="E68">
        <v>0</v>
      </c>
      <c r="F68">
        <v>32.5</v>
      </c>
      <c r="G68">
        <v>0.85499999999999998</v>
      </c>
      <c r="H68">
        <v>38</v>
      </c>
      <c r="I68">
        <v>1</v>
      </c>
    </row>
    <row r="69" spans="1:9" x14ac:dyDescent="0.3">
      <c r="A69">
        <v>2</v>
      </c>
      <c r="B69">
        <v>109</v>
      </c>
      <c r="C69">
        <v>92</v>
      </c>
      <c r="D69">
        <v>0</v>
      </c>
      <c r="E69">
        <v>0</v>
      </c>
      <c r="F69">
        <v>42.7</v>
      </c>
      <c r="G69">
        <v>0.84499999999999997</v>
      </c>
      <c r="H69">
        <v>54</v>
      </c>
      <c r="I69">
        <v>0</v>
      </c>
    </row>
    <row r="70" spans="1:9" x14ac:dyDescent="0.3">
      <c r="A70">
        <v>1</v>
      </c>
      <c r="B70">
        <v>95</v>
      </c>
      <c r="C70">
        <v>66</v>
      </c>
      <c r="D70">
        <v>13</v>
      </c>
      <c r="E70">
        <v>38</v>
      </c>
      <c r="F70">
        <v>19.600000000000001</v>
      </c>
      <c r="G70">
        <v>0.33400000000000002</v>
      </c>
      <c r="H70">
        <v>25</v>
      </c>
      <c r="I70">
        <v>0</v>
      </c>
    </row>
    <row r="71" spans="1:9" x14ac:dyDescent="0.3">
      <c r="A71">
        <v>4</v>
      </c>
      <c r="B71">
        <v>146</v>
      </c>
      <c r="C71">
        <v>85</v>
      </c>
      <c r="D71">
        <v>27</v>
      </c>
      <c r="E71">
        <v>100</v>
      </c>
      <c r="F71">
        <v>28.9</v>
      </c>
      <c r="G71">
        <v>0.189</v>
      </c>
      <c r="H71">
        <v>27</v>
      </c>
      <c r="I71">
        <v>0</v>
      </c>
    </row>
    <row r="72" spans="1:9" x14ac:dyDescent="0.3">
      <c r="A72">
        <v>2</v>
      </c>
      <c r="B72">
        <v>100</v>
      </c>
      <c r="C72">
        <v>66</v>
      </c>
      <c r="D72">
        <v>20</v>
      </c>
      <c r="E72">
        <v>90</v>
      </c>
      <c r="F72">
        <v>32.9</v>
      </c>
      <c r="G72">
        <v>0.86699999999999999</v>
      </c>
      <c r="H72">
        <v>28</v>
      </c>
      <c r="I72">
        <v>1</v>
      </c>
    </row>
    <row r="73" spans="1:9" x14ac:dyDescent="0.3">
      <c r="A73">
        <v>5</v>
      </c>
      <c r="B73">
        <v>139</v>
      </c>
      <c r="C73">
        <v>64</v>
      </c>
      <c r="D73">
        <v>35</v>
      </c>
      <c r="E73">
        <v>140</v>
      </c>
      <c r="F73">
        <v>28.6</v>
      </c>
      <c r="G73">
        <v>0.41099999999999998</v>
      </c>
      <c r="H73">
        <v>26</v>
      </c>
      <c r="I73">
        <v>0</v>
      </c>
    </row>
    <row r="74" spans="1:9" x14ac:dyDescent="0.3">
      <c r="A74">
        <v>13</v>
      </c>
      <c r="B74">
        <v>126</v>
      </c>
      <c r="C74">
        <v>90</v>
      </c>
      <c r="D74">
        <v>0</v>
      </c>
      <c r="E74">
        <v>0</v>
      </c>
      <c r="F74">
        <v>43.4</v>
      </c>
      <c r="G74">
        <v>0.58299999999999996</v>
      </c>
      <c r="H74">
        <v>42</v>
      </c>
      <c r="I74">
        <v>1</v>
      </c>
    </row>
    <row r="75" spans="1:9" x14ac:dyDescent="0.3">
      <c r="A75">
        <v>4</v>
      </c>
      <c r="B75">
        <v>129</v>
      </c>
      <c r="C75">
        <v>86</v>
      </c>
      <c r="D75">
        <v>20</v>
      </c>
      <c r="E75">
        <v>270</v>
      </c>
      <c r="F75">
        <v>35.1</v>
      </c>
      <c r="G75">
        <v>0.23100000000000001</v>
      </c>
      <c r="H75">
        <v>23</v>
      </c>
      <c r="I75">
        <v>0</v>
      </c>
    </row>
    <row r="76" spans="1:9" x14ac:dyDescent="0.3">
      <c r="A76">
        <v>1</v>
      </c>
      <c r="B76">
        <v>79</v>
      </c>
      <c r="C76">
        <v>75</v>
      </c>
      <c r="D76">
        <v>30</v>
      </c>
      <c r="E76">
        <v>0</v>
      </c>
      <c r="F76">
        <v>32</v>
      </c>
      <c r="G76">
        <v>0.39600000000000002</v>
      </c>
      <c r="H76">
        <v>22</v>
      </c>
      <c r="I76">
        <v>0</v>
      </c>
    </row>
    <row r="77" spans="1:9" x14ac:dyDescent="0.3">
      <c r="A77">
        <v>1</v>
      </c>
      <c r="B77">
        <v>0</v>
      </c>
      <c r="C77">
        <v>48</v>
      </c>
      <c r="D77">
        <v>20</v>
      </c>
      <c r="E77">
        <v>0</v>
      </c>
      <c r="F77">
        <v>24.7</v>
      </c>
      <c r="G77">
        <v>0.14000000000000001</v>
      </c>
      <c r="H77">
        <v>22</v>
      </c>
      <c r="I77">
        <v>0</v>
      </c>
    </row>
    <row r="78" spans="1:9" x14ac:dyDescent="0.3">
      <c r="A78">
        <v>7</v>
      </c>
      <c r="B78">
        <v>62</v>
      </c>
      <c r="C78">
        <v>78</v>
      </c>
      <c r="D78">
        <v>0</v>
      </c>
      <c r="E78">
        <v>0</v>
      </c>
      <c r="F78">
        <v>32.6</v>
      </c>
      <c r="G78">
        <v>0.39100000000000001</v>
      </c>
      <c r="H78">
        <v>41</v>
      </c>
      <c r="I78">
        <v>0</v>
      </c>
    </row>
    <row r="79" spans="1:9" x14ac:dyDescent="0.3">
      <c r="A79">
        <v>5</v>
      </c>
      <c r="B79">
        <v>95</v>
      </c>
      <c r="C79">
        <v>72</v>
      </c>
      <c r="D79">
        <v>33</v>
      </c>
      <c r="E79">
        <v>0</v>
      </c>
      <c r="F79">
        <v>37.700000000000003</v>
      </c>
      <c r="G79">
        <v>0.37</v>
      </c>
      <c r="H79">
        <v>27</v>
      </c>
      <c r="I79">
        <v>0</v>
      </c>
    </row>
    <row r="80" spans="1:9" x14ac:dyDescent="0.3">
      <c r="A80">
        <v>0</v>
      </c>
      <c r="B80">
        <v>131</v>
      </c>
      <c r="C80">
        <v>0</v>
      </c>
      <c r="D80">
        <v>0</v>
      </c>
      <c r="E80">
        <v>0</v>
      </c>
      <c r="F80">
        <v>43.2</v>
      </c>
      <c r="G80">
        <v>0.27</v>
      </c>
      <c r="H80">
        <v>26</v>
      </c>
      <c r="I80">
        <v>1</v>
      </c>
    </row>
    <row r="81" spans="1:9" x14ac:dyDescent="0.3">
      <c r="A81">
        <v>2</v>
      </c>
      <c r="B81">
        <v>112</v>
      </c>
      <c r="C81">
        <v>66</v>
      </c>
      <c r="D81">
        <v>22</v>
      </c>
      <c r="E81">
        <v>0</v>
      </c>
      <c r="F81">
        <v>25</v>
      </c>
      <c r="G81">
        <v>0.307</v>
      </c>
      <c r="H81">
        <v>24</v>
      </c>
      <c r="I81">
        <v>0</v>
      </c>
    </row>
    <row r="82" spans="1:9" x14ac:dyDescent="0.3">
      <c r="A82">
        <v>3</v>
      </c>
      <c r="B82">
        <v>113</v>
      </c>
      <c r="C82">
        <v>44</v>
      </c>
      <c r="D82">
        <v>13</v>
      </c>
      <c r="E82">
        <v>0</v>
      </c>
      <c r="F82">
        <v>22.4</v>
      </c>
      <c r="G82">
        <v>0.14000000000000001</v>
      </c>
      <c r="H82">
        <v>22</v>
      </c>
      <c r="I82">
        <v>0</v>
      </c>
    </row>
    <row r="83" spans="1:9" x14ac:dyDescent="0.3">
      <c r="A83">
        <v>2</v>
      </c>
      <c r="B83">
        <v>74</v>
      </c>
      <c r="C83">
        <v>0</v>
      </c>
      <c r="D83">
        <v>0</v>
      </c>
      <c r="E83">
        <v>0</v>
      </c>
      <c r="F83">
        <v>0</v>
      </c>
      <c r="G83">
        <v>0.10199999999999999</v>
      </c>
      <c r="H83">
        <v>22</v>
      </c>
      <c r="I83">
        <v>0</v>
      </c>
    </row>
    <row r="84" spans="1:9" x14ac:dyDescent="0.3">
      <c r="A84">
        <v>7</v>
      </c>
      <c r="B84">
        <v>83</v>
      </c>
      <c r="C84">
        <v>78</v>
      </c>
      <c r="D84">
        <v>26</v>
      </c>
      <c r="E84">
        <v>71</v>
      </c>
      <c r="F84">
        <v>29.3</v>
      </c>
      <c r="G84">
        <v>0.76700000000000002</v>
      </c>
      <c r="H84">
        <v>36</v>
      </c>
      <c r="I84">
        <v>0</v>
      </c>
    </row>
    <row r="85" spans="1:9" x14ac:dyDescent="0.3">
      <c r="A85">
        <v>0</v>
      </c>
      <c r="B85">
        <v>101</v>
      </c>
      <c r="C85">
        <v>65</v>
      </c>
      <c r="D85">
        <v>28</v>
      </c>
      <c r="E85">
        <v>0</v>
      </c>
      <c r="F85">
        <v>24.6</v>
      </c>
      <c r="G85">
        <v>0.23699999999999999</v>
      </c>
      <c r="H85">
        <v>22</v>
      </c>
      <c r="I85">
        <v>0</v>
      </c>
    </row>
    <row r="86" spans="1:9" x14ac:dyDescent="0.3">
      <c r="A86">
        <v>5</v>
      </c>
      <c r="B86">
        <v>137</v>
      </c>
      <c r="C86">
        <v>108</v>
      </c>
      <c r="D86">
        <v>0</v>
      </c>
      <c r="E86">
        <v>0</v>
      </c>
      <c r="F86">
        <v>48.8</v>
      </c>
      <c r="G86">
        <v>0.22700000000000001</v>
      </c>
      <c r="H86">
        <v>37</v>
      </c>
      <c r="I86">
        <v>1</v>
      </c>
    </row>
    <row r="87" spans="1:9" x14ac:dyDescent="0.3">
      <c r="A87">
        <v>2</v>
      </c>
      <c r="B87">
        <v>110</v>
      </c>
      <c r="C87">
        <v>74</v>
      </c>
      <c r="D87">
        <v>29</v>
      </c>
      <c r="E87">
        <v>125</v>
      </c>
      <c r="F87">
        <v>32.4</v>
      </c>
      <c r="G87">
        <v>0.69799999999999995</v>
      </c>
      <c r="H87">
        <v>27</v>
      </c>
      <c r="I87">
        <v>0</v>
      </c>
    </row>
    <row r="88" spans="1:9" x14ac:dyDescent="0.3">
      <c r="A88">
        <v>13</v>
      </c>
      <c r="B88">
        <v>106</v>
      </c>
      <c r="C88">
        <v>72</v>
      </c>
      <c r="D88">
        <v>54</v>
      </c>
      <c r="E88">
        <v>0</v>
      </c>
      <c r="F88">
        <v>36.6</v>
      </c>
      <c r="G88">
        <v>0.17799999999999999</v>
      </c>
      <c r="H88">
        <v>45</v>
      </c>
      <c r="I88">
        <v>0</v>
      </c>
    </row>
    <row r="89" spans="1:9" x14ac:dyDescent="0.3">
      <c r="A89">
        <v>2</v>
      </c>
      <c r="B89">
        <v>100</v>
      </c>
      <c r="C89">
        <v>68</v>
      </c>
      <c r="D89">
        <v>25</v>
      </c>
      <c r="E89">
        <v>71</v>
      </c>
      <c r="F89">
        <v>38.5</v>
      </c>
      <c r="G89">
        <v>0.32400000000000001</v>
      </c>
      <c r="H89">
        <v>26</v>
      </c>
      <c r="I89">
        <v>0</v>
      </c>
    </row>
    <row r="90" spans="1:9" x14ac:dyDescent="0.3">
      <c r="A90">
        <v>15</v>
      </c>
      <c r="B90">
        <v>136</v>
      </c>
      <c r="C90">
        <v>70</v>
      </c>
      <c r="D90">
        <v>32</v>
      </c>
      <c r="E90">
        <v>110</v>
      </c>
      <c r="F90">
        <v>37.1</v>
      </c>
      <c r="G90">
        <v>0.153</v>
      </c>
      <c r="H90">
        <v>43</v>
      </c>
      <c r="I90">
        <v>1</v>
      </c>
    </row>
    <row r="91" spans="1:9" x14ac:dyDescent="0.3">
      <c r="A91">
        <v>1</v>
      </c>
      <c r="B91">
        <v>107</v>
      </c>
      <c r="C91">
        <v>68</v>
      </c>
      <c r="D91">
        <v>19</v>
      </c>
      <c r="E91">
        <v>0</v>
      </c>
      <c r="F91">
        <v>26.5</v>
      </c>
      <c r="G91">
        <v>0.16500000000000001</v>
      </c>
      <c r="H91">
        <v>24</v>
      </c>
      <c r="I91">
        <v>0</v>
      </c>
    </row>
    <row r="92" spans="1:9" x14ac:dyDescent="0.3">
      <c r="A92">
        <v>1</v>
      </c>
      <c r="B92">
        <v>80</v>
      </c>
      <c r="C92">
        <v>55</v>
      </c>
      <c r="D92">
        <v>0</v>
      </c>
      <c r="E92">
        <v>0</v>
      </c>
      <c r="F92">
        <v>19.100000000000001</v>
      </c>
      <c r="G92">
        <v>0.25800000000000001</v>
      </c>
      <c r="H92">
        <v>21</v>
      </c>
      <c r="I92">
        <v>0</v>
      </c>
    </row>
    <row r="93" spans="1:9" x14ac:dyDescent="0.3">
      <c r="A93">
        <v>4</v>
      </c>
      <c r="B93">
        <v>123</v>
      </c>
      <c r="C93">
        <v>80</v>
      </c>
      <c r="D93">
        <v>15</v>
      </c>
      <c r="E93">
        <v>176</v>
      </c>
      <c r="F93">
        <v>32</v>
      </c>
      <c r="G93">
        <v>0.443</v>
      </c>
      <c r="H93">
        <v>34</v>
      </c>
      <c r="I93">
        <v>0</v>
      </c>
    </row>
    <row r="94" spans="1:9" x14ac:dyDescent="0.3">
      <c r="A94">
        <v>7</v>
      </c>
      <c r="B94">
        <v>81</v>
      </c>
      <c r="C94">
        <v>78</v>
      </c>
      <c r="D94">
        <v>40</v>
      </c>
      <c r="E94">
        <v>48</v>
      </c>
      <c r="F94">
        <v>46.7</v>
      </c>
      <c r="G94">
        <v>0.26100000000000001</v>
      </c>
      <c r="H94">
        <v>42</v>
      </c>
      <c r="I94">
        <v>0</v>
      </c>
    </row>
    <row r="95" spans="1:9" x14ac:dyDescent="0.3">
      <c r="A95">
        <v>4</v>
      </c>
      <c r="B95">
        <v>134</v>
      </c>
      <c r="C95">
        <v>72</v>
      </c>
      <c r="D95">
        <v>0</v>
      </c>
      <c r="E95">
        <v>0</v>
      </c>
      <c r="F95">
        <v>23.8</v>
      </c>
      <c r="G95">
        <v>0.27700000000000002</v>
      </c>
      <c r="H95">
        <v>60</v>
      </c>
      <c r="I95">
        <v>1</v>
      </c>
    </row>
    <row r="96" spans="1:9" x14ac:dyDescent="0.3">
      <c r="A96">
        <v>2</v>
      </c>
      <c r="B96">
        <v>142</v>
      </c>
      <c r="C96">
        <v>82</v>
      </c>
      <c r="D96">
        <v>18</v>
      </c>
      <c r="E96">
        <v>64</v>
      </c>
      <c r="F96">
        <v>24.7</v>
      </c>
      <c r="G96">
        <v>0.76100000000000001</v>
      </c>
      <c r="H96">
        <v>21</v>
      </c>
      <c r="I96">
        <v>0</v>
      </c>
    </row>
    <row r="97" spans="1:9" x14ac:dyDescent="0.3">
      <c r="A97">
        <v>6</v>
      </c>
      <c r="B97">
        <v>144</v>
      </c>
      <c r="C97">
        <v>72</v>
      </c>
      <c r="D97">
        <v>27</v>
      </c>
      <c r="E97">
        <v>228</v>
      </c>
      <c r="F97">
        <v>33.9</v>
      </c>
      <c r="G97">
        <v>0.255</v>
      </c>
      <c r="H97">
        <v>40</v>
      </c>
      <c r="I97">
        <v>0</v>
      </c>
    </row>
    <row r="98" spans="1:9" x14ac:dyDescent="0.3">
      <c r="A98">
        <v>2</v>
      </c>
      <c r="B98">
        <v>92</v>
      </c>
      <c r="C98">
        <v>62</v>
      </c>
      <c r="D98">
        <v>28</v>
      </c>
      <c r="E98">
        <v>0</v>
      </c>
      <c r="F98">
        <v>31.6</v>
      </c>
      <c r="G98">
        <v>0.13</v>
      </c>
      <c r="H98">
        <v>24</v>
      </c>
      <c r="I98">
        <v>0</v>
      </c>
    </row>
    <row r="99" spans="1:9" x14ac:dyDescent="0.3">
      <c r="A99">
        <v>1</v>
      </c>
      <c r="B99">
        <v>71</v>
      </c>
      <c r="C99">
        <v>48</v>
      </c>
      <c r="D99">
        <v>18</v>
      </c>
      <c r="E99">
        <v>76</v>
      </c>
      <c r="F99">
        <v>20.399999999999999</v>
      </c>
      <c r="G99">
        <v>0.32300000000000001</v>
      </c>
      <c r="H99">
        <v>22</v>
      </c>
      <c r="I99">
        <v>0</v>
      </c>
    </row>
    <row r="100" spans="1:9" x14ac:dyDescent="0.3">
      <c r="A100">
        <v>6</v>
      </c>
      <c r="B100">
        <v>93</v>
      </c>
      <c r="C100">
        <v>50</v>
      </c>
      <c r="D100">
        <v>30</v>
      </c>
      <c r="E100">
        <v>64</v>
      </c>
      <c r="F100">
        <v>28.7</v>
      </c>
      <c r="G100">
        <v>0.35599999999999998</v>
      </c>
      <c r="H100">
        <v>23</v>
      </c>
      <c r="I100">
        <v>0</v>
      </c>
    </row>
    <row r="101" spans="1:9" x14ac:dyDescent="0.3">
      <c r="A101">
        <v>1</v>
      </c>
      <c r="B101">
        <v>122</v>
      </c>
      <c r="C101">
        <v>90</v>
      </c>
      <c r="D101">
        <v>51</v>
      </c>
      <c r="E101">
        <v>220</v>
      </c>
      <c r="F101">
        <v>49.7</v>
      </c>
      <c r="G101">
        <v>0.32500000000000001</v>
      </c>
      <c r="H101">
        <v>31</v>
      </c>
      <c r="I101">
        <v>1</v>
      </c>
    </row>
    <row r="102" spans="1:9" x14ac:dyDescent="0.3">
      <c r="A102">
        <v>1</v>
      </c>
      <c r="B102">
        <v>163</v>
      </c>
      <c r="C102">
        <v>72</v>
      </c>
      <c r="D102">
        <v>0</v>
      </c>
      <c r="E102">
        <v>0</v>
      </c>
      <c r="F102">
        <v>39</v>
      </c>
      <c r="G102">
        <v>1.222</v>
      </c>
      <c r="H102">
        <v>33</v>
      </c>
      <c r="I102">
        <v>1</v>
      </c>
    </row>
    <row r="103" spans="1:9" x14ac:dyDescent="0.3">
      <c r="A103">
        <v>1</v>
      </c>
      <c r="B103">
        <v>151</v>
      </c>
      <c r="C103">
        <v>60</v>
      </c>
      <c r="D103">
        <v>0</v>
      </c>
      <c r="E103">
        <v>0</v>
      </c>
      <c r="F103">
        <v>26.1</v>
      </c>
      <c r="G103">
        <v>0.17899999999999999</v>
      </c>
      <c r="H103">
        <v>22</v>
      </c>
      <c r="I103">
        <v>0</v>
      </c>
    </row>
    <row r="104" spans="1:9" x14ac:dyDescent="0.3">
      <c r="A104">
        <v>0</v>
      </c>
      <c r="B104">
        <v>125</v>
      </c>
      <c r="C104">
        <v>96</v>
      </c>
      <c r="D104">
        <v>0</v>
      </c>
      <c r="E104">
        <v>0</v>
      </c>
      <c r="F104">
        <v>22.5</v>
      </c>
      <c r="G104">
        <v>0.26200000000000001</v>
      </c>
      <c r="H104">
        <v>21</v>
      </c>
      <c r="I104">
        <v>0</v>
      </c>
    </row>
    <row r="105" spans="1:9" x14ac:dyDescent="0.3">
      <c r="A105">
        <v>1</v>
      </c>
      <c r="B105">
        <v>81</v>
      </c>
      <c r="C105">
        <v>72</v>
      </c>
      <c r="D105">
        <v>18</v>
      </c>
      <c r="E105">
        <v>40</v>
      </c>
      <c r="F105">
        <v>26.6</v>
      </c>
      <c r="G105">
        <v>0.28299999999999997</v>
      </c>
      <c r="H105">
        <v>24</v>
      </c>
      <c r="I105">
        <v>0</v>
      </c>
    </row>
    <row r="106" spans="1:9" x14ac:dyDescent="0.3">
      <c r="A106">
        <v>2</v>
      </c>
      <c r="B106">
        <v>85</v>
      </c>
      <c r="C106">
        <v>65</v>
      </c>
      <c r="D106">
        <v>0</v>
      </c>
      <c r="E106">
        <v>0</v>
      </c>
      <c r="F106">
        <v>39.6</v>
      </c>
      <c r="G106">
        <v>0.93</v>
      </c>
      <c r="H106">
        <v>27</v>
      </c>
      <c r="I106">
        <v>0</v>
      </c>
    </row>
    <row r="107" spans="1:9" x14ac:dyDescent="0.3">
      <c r="A107">
        <v>1</v>
      </c>
      <c r="B107">
        <v>126</v>
      </c>
      <c r="C107">
        <v>56</v>
      </c>
      <c r="D107">
        <v>29</v>
      </c>
      <c r="E107">
        <v>152</v>
      </c>
      <c r="F107">
        <v>28.7</v>
      </c>
      <c r="G107">
        <v>0.80100000000000005</v>
      </c>
      <c r="H107">
        <v>21</v>
      </c>
      <c r="I107">
        <v>0</v>
      </c>
    </row>
    <row r="108" spans="1:9" x14ac:dyDescent="0.3">
      <c r="A108">
        <v>1</v>
      </c>
      <c r="B108">
        <v>96</v>
      </c>
      <c r="C108">
        <v>122</v>
      </c>
      <c r="D108">
        <v>0</v>
      </c>
      <c r="E108">
        <v>0</v>
      </c>
      <c r="F108">
        <v>22.4</v>
      </c>
      <c r="G108">
        <v>0.20699999999999999</v>
      </c>
      <c r="H108">
        <v>27</v>
      </c>
      <c r="I108">
        <v>0</v>
      </c>
    </row>
    <row r="109" spans="1:9" x14ac:dyDescent="0.3">
      <c r="A109">
        <v>4</v>
      </c>
      <c r="B109">
        <v>144</v>
      </c>
      <c r="C109">
        <v>58</v>
      </c>
      <c r="D109">
        <v>28</v>
      </c>
      <c r="E109">
        <v>140</v>
      </c>
      <c r="F109">
        <v>29.5</v>
      </c>
      <c r="G109">
        <v>0.28699999999999998</v>
      </c>
      <c r="H109">
        <v>37</v>
      </c>
      <c r="I109">
        <v>0</v>
      </c>
    </row>
    <row r="110" spans="1:9" x14ac:dyDescent="0.3">
      <c r="A110">
        <v>3</v>
      </c>
      <c r="B110">
        <v>83</v>
      </c>
      <c r="C110">
        <v>58</v>
      </c>
      <c r="D110">
        <v>31</v>
      </c>
      <c r="E110">
        <v>18</v>
      </c>
      <c r="F110">
        <v>34.299999999999997</v>
      </c>
      <c r="G110">
        <v>0.33600000000000002</v>
      </c>
      <c r="H110">
        <v>25</v>
      </c>
      <c r="I110">
        <v>0</v>
      </c>
    </row>
    <row r="111" spans="1:9" x14ac:dyDescent="0.3">
      <c r="A111">
        <v>0</v>
      </c>
      <c r="B111">
        <v>95</v>
      </c>
      <c r="C111">
        <v>85</v>
      </c>
      <c r="D111">
        <v>25</v>
      </c>
      <c r="E111">
        <v>36</v>
      </c>
      <c r="F111">
        <v>37.4</v>
      </c>
      <c r="G111">
        <v>0.247</v>
      </c>
      <c r="H111">
        <v>24</v>
      </c>
      <c r="I111">
        <v>1</v>
      </c>
    </row>
    <row r="112" spans="1:9" x14ac:dyDescent="0.3">
      <c r="A112">
        <v>3</v>
      </c>
      <c r="B112">
        <v>171</v>
      </c>
      <c r="C112">
        <v>72</v>
      </c>
      <c r="D112">
        <v>33</v>
      </c>
      <c r="E112">
        <v>135</v>
      </c>
      <c r="F112">
        <v>33.299999999999997</v>
      </c>
      <c r="G112">
        <v>0.19900000000000001</v>
      </c>
      <c r="H112">
        <v>24</v>
      </c>
      <c r="I112">
        <v>1</v>
      </c>
    </row>
    <row r="113" spans="1:9" x14ac:dyDescent="0.3">
      <c r="A113">
        <v>8</v>
      </c>
      <c r="B113">
        <v>155</v>
      </c>
      <c r="C113">
        <v>62</v>
      </c>
      <c r="D113">
        <v>26</v>
      </c>
      <c r="E113">
        <v>495</v>
      </c>
      <c r="F113">
        <v>34</v>
      </c>
      <c r="G113">
        <v>0.54300000000000004</v>
      </c>
      <c r="H113">
        <v>46</v>
      </c>
      <c r="I113">
        <v>1</v>
      </c>
    </row>
    <row r="114" spans="1:9" x14ac:dyDescent="0.3">
      <c r="A114">
        <v>1</v>
      </c>
      <c r="B114">
        <v>89</v>
      </c>
      <c r="C114">
        <v>76</v>
      </c>
      <c r="D114">
        <v>34</v>
      </c>
      <c r="E114">
        <v>37</v>
      </c>
      <c r="F114">
        <v>31.2</v>
      </c>
      <c r="G114">
        <v>0.192</v>
      </c>
      <c r="H114">
        <v>23</v>
      </c>
      <c r="I114">
        <v>0</v>
      </c>
    </row>
    <row r="115" spans="1:9" x14ac:dyDescent="0.3">
      <c r="A115">
        <v>4</v>
      </c>
      <c r="B115">
        <v>76</v>
      </c>
      <c r="C115">
        <v>62</v>
      </c>
      <c r="D115">
        <v>0</v>
      </c>
      <c r="E115">
        <v>0</v>
      </c>
      <c r="F115">
        <v>34</v>
      </c>
      <c r="G115">
        <v>0.39100000000000001</v>
      </c>
      <c r="H115">
        <v>25</v>
      </c>
      <c r="I115">
        <v>0</v>
      </c>
    </row>
    <row r="116" spans="1:9" x14ac:dyDescent="0.3">
      <c r="A116">
        <v>7</v>
      </c>
      <c r="B116">
        <v>160</v>
      </c>
      <c r="C116">
        <v>54</v>
      </c>
      <c r="D116">
        <v>32</v>
      </c>
      <c r="E116">
        <v>175</v>
      </c>
      <c r="F116">
        <v>30.5</v>
      </c>
      <c r="G116">
        <v>0.58799999999999997</v>
      </c>
      <c r="H116">
        <v>39</v>
      </c>
      <c r="I116">
        <v>1</v>
      </c>
    </row>
    <row r="117" spans="1:9" x14ac:dyDescent="0.3">
      <c r="A117">
        <v>4</v>
      </c>
      <c r="B117">
        <v>146</v>
      </c>
      <c r="C117">
        <v>92</v>
      </c>
      <c r="D117">
        <v>0</v>
      </c>
      <c r="E117">
        <v>0</v>
      </c>
      <c r="F117">
        <v>31.2</v>
      </c>
      <c r="G117">
        <v>0.53900000000000003</v>
      </c>
      <c r="H117">
        <v>61</v>
      </c>
      <c r="I117">
        <v>1</v>
      </c>
    </row>
    <row r="118" spans="1:9" x14ac:dyDescent="0.3">
      <c r="A118">
        <v>5</v>
      </c>
      <c r="B118">
        <v>124</v>
      </c>
      <c r="C118">
        <v>74</v>
      </c>
      <c r="D118">
        <v>0</v>
      </c>
      <c r="E118">
        <v>0</v>
      </c>
      <c r="F118">
        <v>34</v>
      </c>
      <c r="G118">
        <v>0.22</v>
      </c>
      <c r="H118">
        <v>38</v>
      </c>
      <c r="I118">
        <v>1</v>
      </c>
    </row>
    <row r="119" spans="1:9" x14ac:dyDescent="0.3">
      <c r="A119">
        <v>5</v>
      </c>
      <c r="B119">
        <v>78</v>
      </c>
      <c r="C119">
        <v>48</v>
      </c>
      <c r="D119">
        <v>0</v>
      </c>
      <c r="E119">
        <v>0</v>
      </c>
      <c r="F119">
        <v>33.700000000000003</v>
      </c>
      <c r="G119">
        <v>0.65400000000000003</v>
      </c>
      <c r="H119">
        <v>25</v>
      </c>
      <c r="I119">
        <v>0</v>
      </c>
    </row>
    <row r="120" spans="1:9" x14ac:dyDescent="0.3">
      <c r="A120">
        <v>4</v>
      </c>
      <c r="B120">
        <v>97</v>
      </c>
      <c r="C120">
        <v>60</v>
      </c>
      <c r="D120">
        <v>23</v>
      </c>
      <c r="E120">
        <v>0</v>
      </c>
      <c r="F120">
        <v>28.2</v>
      </c>
      <c r="G120">
        <v>0.443</v>
      </c>
      <c r="H120">
        <v>22</v>
      </c>
      <c r="I120">
        <v>0</v>
      </c>
    </row>
    <row r="121" spans="1:9" x14ac:dyDescent="0.3">
      <c r="A121">
        <v>4</v>
      </c>
      <c r="B121">
        <v>99</v>
      </c>
      <c r="C121">
        <v>76</v>
      </c>
      <c r="D121">
        <v>15</v>
      </c>
      <c r="E121">
        <v>51</v>
      </c>
      <c r="F121">
        <v>23.2</v>
      </c>
      <c r="G121">
        <v>0.223</v>
      </c>
      <c r="H121">
        <v>21</v>
      </c>
      <c r="I121">
        <v>0</v>
      </c>
    </row>
    <row r="122" spans="1:9" x14ac:dyDescent="0.3">
      <c r="A122">
        <v>0</v>
      </c>
      <c r="B122">
        <v>162</v>
      </c>
      <c r="C122">
        <v>76</v>
      </c>
      <c r="D122">
        <v>56</v>
      </c>
      <c r="E122">
        <v>100</v>
      </c>
      <c r="F122">
        <v>53.2</v>
      </c>
      <c r="G122">
        <v>0.75900000000000001</v>
      </c>
      <c r="H122">
        <v>25</v>
      </c>
      <c r="I122">
        <v>1</v>
      </c>
    </row>
    <row r="123" spans="1:9" x14ac:dyDescent="0.3">
      <c r="A123">
        <v>6</v>
      </c>
      <c r="B123">
        <v>111</v>
      </c>
      <c r="C123">
        <v>64</v>
      </c>
      <c r="D123">
        <v>39</v>
      </c>
      <c r="E123">
        <v>0</v>
      </c>
      <c r="F123">
        <v>34.200000000000003</v>
      </c>
      <c r="G123">
        <v>0.26</v>
      </c>
      <c r="H123">
        <v>24</v>
      </c>
      <c r="I123">
        <v>0</v>
      </c>
    </row>
    <row r="124" spans="1:9" x14ac:dyDescent="0.3">
      <c r="A124">
        <v>2</v>
      </c>
      <c r="B124">
        <v>107</v>
      </c>
      <c r="C124">
        <v>74</v>
      </c>
      <c r="D124">
        <v>30</v>
      </c>
      <c r="E124">
        <v>100</v>
      </c>
      <c r="F124">
        <v>33.6</v>
      </c>
      <c r="G124">
        <v>0.40400000000000003</v>
      </c>
      <c r="H124">
        <v>23</v>
      </c>
      <c r="I124">
        <v>0</v>
      </c>
    </row>
    <row r="125" spans="1:9" x14ac:dyDescent="0.3">
      <c r="A125">
        <v>5</v>
      </c>
      <c r="B125">
        <v>132</v>
      </c>
      <c r="C125">
        <v>80</v>
      </c>
      <c r="D125">
        <v>0</v>
      </c>
      <c r="E125">
        <v>0</v>
      </c>
      <c r="F125">
        <v>26.8</v>
      </c>
      <c r="G125">
        <v>0.186</v>
      </c>
      <c r="H125">
        <v>69</v>
      </c>
      <c r="I125">
        <v>0</v>
      </c>
    </row>
    <row r="126" spans="1:9" x14ac:dyDescent="0.3">
      <c r="A126">
        <v>0</v>
      </c>
      <c r="B126">
        <v>113</v>
      </c>
      <c r="C126">
        <v>76</v>
      </c>
      <c r="D126">
        <v>0</v>
      </c>
      <c r="E126">
        <v>0</v>
      </c>
      <c r="F126">
        <v>33.299999999999997</v>
      </c>
      <c r="G126">
        <v>0.27800000000000002</v>
      </c>
      <c r="H126">
        <v>23</v>
      </c>
      <c r="I126">
        <v>1</v>
      </c>
    </row>
    <row r="127" spans="1:9" x14ac:dyDescent="0.3">
      <c r="A127">
        <v>1</v>
      </c>
      <c r="B127">
        <v>88</v>
      </c>
      <c r="C127">
        <v>30</v>
      </c>
      <c r="D127">
        <v>42</v>
      </c>
      <c r="E127">
        <v>99</v>
      </c>
      <c r="F127">
        <v>55</v>
      </c>
      <c r="G127">
        <v>0.496</v>
      </c>
      <c r="H127">
        <v>26</v>
      </c>
      <c r="I127">
        <v>1</v>
      </c>
    </row>
    <row r="128" spans="1:9" x14ac:dyDescent="0.3">
      <c r="A128">
        <v>3</v>
      </c>
      <c r="B128">
        <v>120</v>
      </c>
      <c r="C128">
        <v>70</v>
      </c>
      <c r="D128">
        <v>30</v>
      </c>
      <c r="E128">
        <v>135</v>
      </c>
      <c r="F128">
        <v>42.9</v>
      </c>
      <c r="G128">
        <v>0.45200000000000001</v>
      </c>
      <c r="H128">
        <v>30</v>
      </c>
      <c r="I128">
        <v>0</v>
      </c>
    </row>
    <row r="129" spans="1:9" x14ac:dyDescent="0.3">
      <c r="A129">
        <v>1</v>
      </c>
      <c r="B129">
        <v>118</v>
      </c>
      <c r="C129">
        <v>58</v>
      </c>
      <c r="D129">
        <v>36</v>
      </c>
      <c r="E129">
        <v>94</v>
      </c>
      <c r="F129">
        <v>33.299999999999997</v>
      </c>
      <c r="G129">
        <v>0.26100000000000001</v>
      </c>
      <c r="H129">
        <v>23</v>
      </c>
      <c r="I129">
        <v>0</v>
      </c>
    </row>
    <row r="130" spans="1:9" x14ac:dyDescent="0.3">
      <c r="A130">
        <v>1</v>
      </c>
      <c r="B130">
        <v>117</v>
      </c>
      <c r="C130">
        <v>88</v>
      </c>
      <c r="D130">
        <v>24</v>
      </c>
      <c r="E130">
        <v>145</v>
      </c>
      <c r="F130">
        <v>34.5</v>
      </c>
      <c r="G130">
        <v>0.40300000000000002</v>
      </c>
      <c r="H130">
        <v>40</v>
      </c>
      <c r="I130">
        <v>1</v>
      </c>
    </row>
    <row r="131" spans="1:9" x14ac:dyDescent="0.3">
      <c r="A131">
        <v>0</v>
      </c>
      <c r="B131">
        <v>105</v>
      </c>
      <c r="C131">
        <v>84</v>
      </c>
      <c r="D131">
        <v>0</v>
      </c>
      <c r="E131">
        <v>0</v>
      </c>
      <c r="F131">
        <v>27.9</v>
      </c>
      <c r="G131">
        <v>0.74099999999999999</v>
      </c>
      <c r="H131">
        <v>62</v>
      </c>
      <c r="I131">
        <v>1</v>
      </c>
    </row>
    <row r="132" spans="1:9" x14ac:dyDescent="0.3">
      <c r="A132">
        <v>4</v>
      </c>
      <c r="B132">
        <v>173</v>
      </c>
      <c r="C132">
        <v>70</v>
      </c>
      <c r="D132">
        <v>14</v>
      </c>
      <c r="E132">
        <v>168</v>
      </c>
      <c r="F132">
        <v>29.7</v>
      </c>
      <c r="G132">
        <v>0.36099999999999999</v>
      </c>
      <c r="H132">
        <v>33</v>
      </c>
      <c r="I132">
        <v>1</v>
      </c>
    </row>
    <row r="133" spans="1:9" x14ac:dyDescent="0.3">
      <c r="A133">
        <v>9</v>
      </c>
      <c r="B133">
        <v>122</v>
      </c>
      <c r="C133">
        <v>56</v>
      </c>
      <c r="D133">
        <v>0</v>
      </c>
      <c r="E133">
        <v>0</v>
      </c>
      <c r="F133">
        <v>33.299999999999997</v>
      </c>
      <c r="G133">
        <v>1.1140000000000001</v>
      </c>
      <c r="H133">
        <v>33</v>
      </c>
      <c r="I133">
        <v>1</v>
      </c>
    </row>
    <row r="134" spans="1:9" x14ac:dyDescent="0.3">
      <c r="A134">
        <v>3</v>
      </c>
      <c r="B134">
        <v>170</v>
      </c>
      <c r="C134">
        <v>64</v>
      </c>
      <c r="D134">
        <v>37</v>
      </c>
      <c r="E134">
        <v>225</v>
      </c>
      <c r="F134">
        <v>34.5</v>
      </c>
      <c r="G134">
        <v>0.35599999999999998</v>
      </c>
      <c r="H134">
        <v>30</v>
      </c>
      <c r="I134">
        <v>1</v>
      </c>
    </row>
    <row r="135" spans="1:9" x14ac:dyDescent="0.3">
      <c r="A135">
        <v>8</v>
      </c>
      <c r="B135">
        <v>84</v>
      </c>
      <c r="C135">
        <v>74</v>
      </c>
      <c r="D135">
        <v>31</v>
      </c>
      <c r="E135">
        <v>0</v>
      </c>
      <c r="F135">
        <v>38.299999999999997</v>
      </c>
      <c r="G135">
        <v>0.45700000000000002</v>
      </c>
      <c r="H135">
        <v>39</v>
      </c>
      <c r="I135">
        <v>0</v>
      </c>
    </row>
    <row r="136" spans="1:9" x14ac:dyDescent="0.3">
      <c r="A136">
        <v>2</v>
      </c>
      <c r="B136">
        <v>96</v>
      </c>
      <c r="C136">
        <v>68</v>
      </c>
      <c r="D136">
        <v>13</v>
      </c>
      <c r="E136">
        <v>49</v>
      </c>
      <c r="F136">
        <v>21.1</v>
      </c>
      <c r="G136">
        <v>0.64700000000000002</v>
      </c>
      <c r="H136">
        <v>26</v>
      </c>
      <c r="I136">
        <v>0</v>
      </c>
    </row>
    <row r="137" spans="1:9" x14ac:dyDescent="0.3">
      <c r="A137">
        <v>2</v>
      </c>
      <c r="B137">
        <v>125</v>
      </c>
      <c r="C137">
        <v>60</v>
      </c>
      <c r="D137">
        <v>20</v>
      </c>
      <c r="E137">
        <v>140</v>
      </c>
      <c r="F137">
        <v>33.799999999999997</v>
      </c>
      <c r="G137">
        <v>8.7999999999999995E-2</v>
      </c>
      <c r="H137">
        <v>31</v>
      </c>
      <c r="I137">
        <v>0</v>
      </c>
    </row>
    <row r="138" spans="1:9" x14ac:dyDescent="0.3">
      <c r="A138">
        <v>0</v>
      </c>
      <c r="B138">
        <v>100</v>
      </c>
      <c r="C138">
        <v>70</v>
      </c>
      <c r="D138">
        <v>26</v>
      </c>
      <c r="E138">
        <v>50</v>
      </c>
      <c r="F138">
        <v>30.8</v>
      </c>
      <c r="G138">
        <v>0.59699999999999998</v>
      </c>
      <c r="H138">
        <v>21</v>
      </c>
      <c r="I138">
        <v>0</v>
      </c>
    </row>
    <row r="139" spans="1:9" x14ac:dyDescent="0.3">
      <c r="A139">
        <v>0</v>
      </c>
      <c r="B139">
        <v>93</v>
      </c>
      <c r="C139">
        <v>60</v>
      </c>
      <c r="D139">
        <v>25</v>
      </c>
      <c r="E139">
        <v>92</v>
      </c>
      <c r="F139">
        <v>28.7</v>
      </c>
      <c r="G139">
        <v>0.53200000000000003</v>
      </c>
      <c r="H139">
        <v>22</v>
      </c>
      <c r="I139">
        <v>0</v>
      </c>
    </row>
    <row r="140" spans="1:9" x14ac:dyDescent="0.3">
      <c r="A140">
        <v>0</v>
      </c>
      <c r="B140">
        <v>129</v>
      </c>
      <c r="C140">
        <v>80</v>
      </c>
      <c r="D140">
        <v>0</v>
      </c>
      <c r="E140">
        <v>0</v>
      </c>
      <c r="F140">
        <v>31.2</v>
      </c>
      <c r="G140">
        <v>0.70299999999999996</v>
      </c>
      <c r="H140">
        <v>29</v>
      </c>
      <c r="I140">
        <v>0</v>
      </c>
    </row>
    <row r="141" spans="1:9" x14ac:dyDescent="0.3">
      <c r="A141">
        <v>5</v>
      </c>
      <c r="B141">
        <v>105</v>
      </c>
      <c r="C141">
        <v>72</v>
      </c>
      <c r="D141">
        <v>29</v>
      </c>
      <c r="E141">
        <v>325</v>
      </c>
      <c r="F141">
        <v>36.9</v>
      </c>
      <c r="G141">
        <v>0.159</v>
      </c>
      <c r="H141">
        <v>28</v>
      </c>
      <c r="I141">
        <v>0</v>
      </c>
    </row>
    <row r="142" spans="1:9" x14ac:dyDescent="0.3">
      <c r="A142">
        <v>3</v>
      </c>
      <c r="B142">
        <v>128</v>
      </c>
      <c r="C142">
        <v>78</v>
      </c>
      <c r="D142">
        <v>0</v>
      </c>
      <c r="E142">
        <v>0</v>
      </c>
      <c r="F142">
        <v>21.1</v>
      </c>
      <c r="G142">
        <v>0.26800000000000002</v>
      </c>
      <c r="H142">
        <v>55</v>
      </c>
      <c r="I142">
        <v>0</v>
      </c>
    </row>
    <row r="143" spans="1:9" x14ac:dyDescent="0.3">
      <c r="A143">
        <v>5</v>
      </c>
      <c r="B143">
        <v>106</v>
      </c>
      <c r="C143">
        <v>82</v>
      </c>
      <c r="D143">
        <v>30</v>
      </c>
      <c r="E143">
        <v>0</v>
      </c>
      <c r="F143">
        <v>39.5</v>
      </c>
      <c r="G143">
        <v>0.28599999999999998</v>
      </c>
      <c r="H143">
        <v>38</v>
      </c>
      <c r="I143">
        <v>0</v>
      </c>
    </row>
    <row r="144" spans="1:9" x14ac:dyDescent="0.3">
      <c r="A144">
        <v>2</v>
      </c>
      <c r="B144">
        <v>108</v>
      </c>
      <c r="C144">
        <v>52</v>
      </c>
      <c r="D144">
        <v>26</v>
      </c>
      <c r="E144">
        <v>63</v>
      </c>
      <c r="F144">
        <v>32.5</v>
      </c>
      <c r="G144">
        <v>0.318</v>
      </c>
      <c r="H144">
        <v>22</v>
      </c>
      <c r="I144">
        <v>0</v>
      </c>
    </row>
    <row r="145" spans="1:9" x14ac:dyDescent="0.3">
      <c r="A145">
        <v>10</v>
      </c>
      <c r="B145">
        <v>108</v>
      </c>
      <c r="C145">
        <v>66</v>
      </c>
      <c r="D145">
        <v>0</v>
      </c>
      <c r="E145">
        <v>0</v>
      </c>
      <c r="F145">
        <v>32.4</v>
      </c>
      <c r="G145">
        <v>0.27200000000000002</v>
      </c>
      <c r="H145">
        <v>42</v>
      </c>
      <c r="I145">
        <v>1</v>
      </c>
    </row>
    <row r="146" spans="1:9" x14ac:dyDescent="0.3">
      <c r="A146">
        <v>4</v>
      </c>
      <c r="B146">
        <v>154</v>
      </c>
      <c r="C146">
        <v>62</v>
      </c>
      <c r="D146">
        <v>31</v>
      </c>
      <c r="E146">
        <v>284</v>
      </c>
      <c r="F146">
        <v>32.799999999999997</v>
      </c>
      <c r="G146">
        <v>0.23699999999999999</v>
      </c>
      <c r="H146">
        <v>23</v>
      </c>
      <c r="I146">
        <v>0</v>
      </c>
    </row>
    <row r="147" spans="1:9" x14ac:dyDescent="0.3">
      <c r="A147">
        <v>0</v>
      </c>
      <c r="B147">
        <v>102</v>
      </c>
      <c r="C147">
        <v>75</v>
      </c>
      <c r="D147">
        <v>23</v>
      </c>
      <c r="E147">
        <v>0</v>
      </c>
      <c r="F147">
        <v>0</v>
      </c>
      <c r="G147">
        <v>0.57199999999999995</v>
      </c>
      <c r="H147">
        <v>21</v>
      </c>
      <c r="I147">
        <v>0</v>
      </c>
    </row>
    <row r="148" spans="1:9" x14ac:dyDescent="0.3">
      <c r="A148">
        <v>9</v>
      </c>
      <c r="B148">
        <v>57</v>
      </c>
      <c r="C148">
        <v>80</v>
      </c>
      <c r="D148">
        <v>37</v>
      </c>
      <c r="E148">
        <v>0</v>
      </c>
      <c r="F148">
        <v>32.799999999999997</v>
      </c>
      <c r="G148">
        <v>9.6000000000000002E-2</v>
      </c>
      <c r="H148">
        <v>41</v>
      </c>
      <c r="I148">
        <v>0</v>
      </c>
    </row>
    <row r="149" spans="1:9" x14ac:dyDescent="0.3">
      <c r="A149">
        <v>2</v>
      </c>
      <c r="B149">
        <v>106</v>
      </c>
      <c r="C149">
        <v>64</v>
      </c>
      <c r="D149">
        <v>35</v>
      </c>
      <c r="E149">
        <v>119</v>
      </c>
      <c r="F149">
        <v>30.5</v>
      </c>
      <c r="G149">
        <v>1.4</v>
      </c>
      <c r="H149">
        <v>34</v>
      </c>
      <c r="I149">
        <v>0</v>
      </c>
    </row>
    <row r="150" spans="1:9" x14ac:dyDescent="0.3">
      <c r="A150">
        <v>5</v>
      </c>
      <c r="B150">
        <v>147</v>
      </c>
      <c r="C150">
        <v>78</v>
      </c>
      <c r="D150">
        <v>0</v>
      </c>
      <c r="E150">
        <v>0</v>
      </c>
      <c r="F150">
        <v>33.700000000000003</v>
      </c>
      <c r="G150">
        <v>0.218</v>
      </c>
      <c r="H150">
        <v>65</v>
      </c>
      <c r="I150">
        <v>0</v>
      </c>
    </row>
    <row r="151" spans="1:9" x14ac:dyDescent="0.3">
      <c r="A151">
        <v>2</v>
      </c>
      <c r="B151">
        <v>90</v>
      </c>
      <c r="C151">
        <v>70</v>
      </c>
      <c r="D151">
        <v>17</v>
      </c>
      <c r="E151">
        <v>0</v>
      </c>
      <c r="F151">
        <v>27.3</v>
      </c>
      <c r="G151">
        <v>8.5000000000000006E-2</v>
      </c>
      <c r="H151">
        <v>22</v>
      </c>
      <c r="I151">
        <v>0</v>
      </c>
    </row>
    <row r="152" spans="1:9" x14ac:dyDescent="0.3">
      <c r="A152">
        <v>1</v>
      </c>
      <c r="B152">
        <v>136</v>
      </c>
      <c r="C152">
        <v>74</v>
      </c>
      <c r="D152">
        <v>50</v>
      </c>
      <c r="E152">
        <v>204</v>
      </c>
      <c r="F152">
        <v>37.4</v>
      </c>
      <c r="G152">
        <v>0.39900000000000002</v>
      </c>
      <c r="H152">
        <v>24</v>
      </c>
      <c r="I152">
        <v>0</v>
      </c>
    </row>
    <row r="153" spans="1:9" x14ac:dyDescent="0.3">
      <c r="A153">
        <v>4</v>
      </c>
      <c r="B153">
        <v>114</v>
      </c>
      <c r="C153">
        <v>65</v>
      </c>
      <c r="D153">
        <v>0</v>
      </c>
      <c r="E153">
        <v>0</v>
      </c>
      <c r="F153">
        <v>21.9</v>
      </c>
      <c r="G153">
        <v>0.432</v>
      </c>
      <c r="H153">
        <v>37</v>
      </c>
      <c r="I153">
        <v>0</v>
      </c>
    </row>
    <row r="154" spans="1:9" x14ac:dyDescent="0.3">
      <c r="A154">
        <v>9</v>
      </c>
      <c r="B154">
        <v>156</v>
      </c>
      <c r="C154">
        <v>86</v>
      </c>
      <c r="D154">
        <v>28</v>
      </c>
      <c r="E154">
        <v>155</v>
      </c>
      <c r="F154">
        <v>34.299999999999997</v>
      </c>
      <c r="G154">
        <v>1.1890000000000001</v>
      </c>
      <c r="H154">
        <v>42</v>
      </c>
      <c r="I154">
        <v>1</v>
      </c>
    </row>
    <row r="155" spans="1:9" x14ac:dyDescent="0.3">
      <c r="A155">
        <v>1</v>
      </c>
      <c r="B155">
        <v>153</v>
      </c>
      <c r="C155">
        <v>82</v>
      </c>
      <c r="D155">
        <v>42</v>
      </c>
      <c r="E155">
        <v>485</v>
      </c>
      <c r="F155">
        <v>40.6</v>
      </c>
      <c r="G155">
        <v>0.68700000000000006</v>
      </c>
      <c r="H155">
        <v>23</v>
      </c>
      <c r="I155">
        <v>0</v>
      </c>
    </row>
    <row r="156" spans="1:9" x14ac:dyDescent="0.3">
      <c r="A156">
        <v>8</v>
      </c>
      <c r="B156">
        <v>188</v>
      </c>
      <c r="C156">
        <v>78</v>
      </c>
      <c r="D156">
        <v>0</v>
      </c>
      <c r="E156">
        <v>0</v>
      </c>
      <c r="F156">
        <v>47.9</v>
      </c>
      <c r="G156">
        <v>0.13700000000000001</v>
      </c>
      <c r="H156">
        <v>43</v>
      </c>
      <c r="I156">
        <v>1</v>
      </c>
    </row>
    <row r="157" spans="1:9" x14ac:dyDescent="0.3">
      <c r="A157">
        <v>7</v>
      </c>
      <c r="B157">
        <v>152</v>
      </c>
      <c r="C157">
        <v>88</v>
      </c>
      <c r="D157">
        <v>44</v>
      </c>
      <c r="E157">
        <v>0</v>
      </c>
      <c r="F157">
        <v>50</v>
      </c>
      <c r="G157">
        <v>0.33700000000000002</v>
      </c>
      <c r="H157">
        <v>36</v>
      </c>
      <c r="I157">
        <v>1</v>
      </c>
    </row>
    <row r="158" spans="1:9" x14ac:dyDescent="0.3">
      <c r="A158">
        <v>2</v>
      </c>
      <c r="B158">
        <v>99</v>
      </c>
      <c r="C158">
        <v>52</v>
      </c>
      <c r="D158">
        <v>15</v>
      </c>
      <c r="E158">
        <v>94</v>
      </c>
      <c r="F158">
        <v>24.6</v>
      </c>
      <c r="G158">
        <v>0.63700000000000001</v>
      </c>
      <c r="H158">
        <v>21</v>
      </c>
      <c r="I158">
        <v>0</v>
      </c>
    </row>
    <row r="159" spans="1:9" x14ac:dyDescent="0.3">
      <c r="A159">
        <v>1</v>
      </c>
      <c r="B159">
        <v>109</v>
      </c>
      <c r="C159">
        <v>56</v>
      </c>
      <c r="D159">
        <v>21</v>
      </c>
      <c r="E159">
        <v>135</v>
      </c>
      <c r="F159">
        <v>25.2</v>
      </c>
      <c r="G159">
        <v>0.83299999999999996</v>
      </c>
      <c r="H159">
        <v>23</v>
      </c>
      <c r="I159">
        <v>0</v>
      </c>
    </row>
    <row r="160" spans="1:9" x14ac:dyDescent="0.3">
      <c r="A160">
        <v>2</v>
      </c>
      <c r="B160">
        <v>88</v>
      </c>
      <c r="C160">
        <v>74</v>
      </c>
      <c r="D160">
        <v>19</v>
      </c>
      <c r="E160">
        <v>53</v>
      </c>
      <c r="F160">
        <v>29</v>
      </c>
      <c r="G160">
        <v>0.22900000000000001</v>
      </c>
      <c r="H160">
        <v>22</v>
      </c>
      <c r="I160">
        <v>0</v>
      </c>
    </row>
    <row r="161" spans="1:9" x14ac:dyDescent="0.3">
      <c r="A161">
        <v>17</v>
      </c>
      <c r="B161">
        <v>163</v>
      </c>
      <c r="C161">
        <v>72</v>
      </c>
      <c r="D161">
        <v>41</v>
      </c>
      <c r="E161">
        <v>114</v>
      </c>
      <c r="F161">
        <v>40.9</v>
      </c>
      <c r="G161">
        <v>0.81699999999999995</v>
      </c>
      <c r="H161">
        <v>47</v>
      </c>
      <c r="I161">
        <v>1</v>
      </c>
    </row>
    <row r="162" spans="1:9" x14ac:dyDescent="0.3">
      <c r="A162">
        <v>4</v>
      </c>
      <c r="B162">
        <v>151</v>
      </c>
      <c r="C162">
        <v>90</v>
      </c>
      <c r="D162">
        <v>38</v>
      </c>
      <c r="E162">
        <v>0</v>
      </c>
      <c r="F162">
        <v>29.7</v>
      </c>
      <c r="G162">
        <v>0.29399999999999998</v>
      </c>
      <c r="H162">
        <v>36</v>
      </c>
      <c r="I162">
        <v>0</v>
      </c>
    </row>
    <row r="163" spans="1:9" x14ac:dyDescent="0.3">
      <c r="A163">
        <v>7</v>
      </c>
      <c r="B163">
        <v>102</v>
      </c>
      <c r="C163">
        <v>74</v>
      </c>
      <c r="D163">
        <v>40</v>
      </c>
      <c r="E163">
        <v>105</v>
      </c>
      <c r="F163">
        <v>37.200000000000003</v>
      </c>
      <c r="G163">
        <v>0.20399999999999999</v>
      </c>
      <c r="H163">
        <v>45</v>
      </c>
      <c r="I163">
        <v>0</v>
      </c>
    </row>
    <row r="164" spans="1:9" x14ac:dyDescent="0.3">
      <c r="A164">
        <v>0</v>
      </c>
      <c r="B164">
        <v>114</v>
      </c>
      <c r="C164">
        <v>80</v>
      </c>
      <c r="D164">
        <v>34</v>
      </c>
      <c r="E164">
        <v>285</v>
      </c>
      <c r="F164">
        <v>44.2</v>
      </c>
      <c r="G164">
        <v>0.16700000000000001</v>
      </c>
      <c r="H164">
        <v>27</v>
      </c>
      <c r="I164">
        <v>0</v>
      </c>
    </row>
    <row r="165" spans="1:9" x14ac:dyDescent="0.3">
      <c r="A165">
        <v>2</v>
      </c>
      <c r="B165">
        <v>100</v>
      </c>
      <c r="C165">
        <v>64</v>
      </c>
      <c r="D165">
        <v>23</v>
      </c>
      <c r="E165">
        <v>0</v>
      </c>
      <c r="F165">
        <v>29.7</v>
      </c>
      <c r="G165">
        <v>0.36799999999999999</v>
      </c>
      <c r="H165">
        <v>21</v>
      </c>
      <c r="I165">
        <v>0</v>
      </c>
    </row>
    <row r="166" spans="1:9" x14ac:dyDescent="0.3">
      <c r="A166">
        <v>0</v>
      </c>
      <c r="B166">
        <v>131</v>
      </c>
      <c r="C166">
        <v>88</v>
      </c>
      <c r="D166">
        <v>0</v>
      </c>
      <c r="E166">
        <v>0</v>
      </c>
      <c r="F166">
        <v>31.6</v>
      </c>
      <c r="G166">
        <v>0.74299999999999999</v>
      </c>
      <c r="H166">
        <v>32</v>
      </c>
      <c r="I166">
        <v>1</v>
      </c>
    </row>
    <row r="167" spans="1:9" x14ac:dyDescent="0.3">
      <c r="A167">
        <v>6</v>
      </c>
      <c r="B167">
        <v>104</v>
      </c>
      <c r="C167">
        <v>74</v>
      </c>
      <c r="D167">
        <v>18</v>
      </c>
      <c r="E167">
        <v>156</v>
      </c>
      <c r="F167">
        <v>29.9</v>
      </c>
      <c r="G167">
        <v>0.72199999999999998</v>
      </c>
      <c r="H167">
        <v>41</v>
      </c>
      <c r="I167">
        <v>1</v>
      </c>
    </row>
    <row r="168" spans="1:9" x14ac:dyDescent="0.3">
      <c r="A168">
        <v>3</v>
      </c>
      <c r="B168">
        <v>148</v>
      </c>
      <c r="C168">
        <v>66</v>
      </c>
      <c r="D168">
        <v>25</v>
      </c>
      <c r="E168">
        <v>0</v>
      </c>
      <c r="F168">
        <v>32.5</v>
      </c>
      <c r="G168">
        <v>0.25600000000000001</v>
      </c>
      <c r="H168">
        <v>22</v>
      </c>
      <c r="I168">
        <v>0</v>
      </c>
    </row>
    <row r="169" spans="1:9" x14ac:dyDescent="0.3">
      <c r="A169">
        <v>4</v>
      </c>
      <c r="B169">
        <v>120</v>
      </c>
      <c r="C169">
        <v>68</v>
      </c>
      <c r="D169">
        <v>0</v>
      </c>
      <c r="E169">
        <v>0</v>
      </c>
      <c r="F169">
        <v>29.6</v>
      </c>
      <c r="G169">
        <v>0.70899999999999996</v>
      </c>
      <c r="H169">
        <v>34</v>
      </c>
      <c r="I169">
        <v>0</v>
      </c>
    </row>
    <row r="170" spans="1:9" x14ac:dyDescent="0.3">
      <c r="A170">
        <v>4</v>
      </c>
      <c r="B170">
        <v>110</v>
      </c>
      <c r="C170">
        <v>66</v>
      </c>
      <c r="D170">
        <v>0</v>
      </c>
      <c r="E170">
        <v>0</v>
      </c>
      <c r="F170">
        <v>31.9</v>
      </c>
      <c r="G170">
        <v>0.47099999999999997</v>
      </c>
      <c r="H170">
        <v>29</v>
      </c>
      <c r="I170">
        <v>0</v>
      </c>
    </row>
    <row r="171" spans="1:9" x14ac:dyDescent="0.3">
      <c r="A171">
        <v>3</v>
      </c>
      <c r="B171">
        <v>111</v>
      </c>
      <c r="C171">
        <v>90</v>
      </c>
      <c r="D171">
        <v>12</v>
      </c>
      <c r="E171">
        <v>78</v>
      </c>
      <c r="F171">
        <v>28.4</v>
      </c>
      <c r="G171">
        <v>0.495</v>
      </c>
      <c r="H171">
        <v>29</v>
      </c>
      <c r="I171">
        <v>0</v>
      </c>
    </row>
    <row r="172" spans="1:9" x14ac:dyDescent="0.3">
      <c r="A172">
        <v>6</v>
      </c>
      <c r="B172">
        <v>102</v>
      </c>
      <c r="C172">
        <v>82</v>
      </c>
      <c r="D172">
        <v>0</v>
      </c>
      <c r="E172">
        <v>0</v>
      </c>
      <c r="F172">
        <v>30.8</v>
      </c>
      <c r="G172">
        <v>0.18</v>
      </c>
      <c r="H172">
        <v>36</v>
      </c>
      <c r="I172">
        <v>1</v>
      </c>
    </row>
    <row r="173" spans="1:9" x14ac:dyDescent="0.3">
      <c r="A173">
        <v>6</v>
      </c>
      <c r="B173">
        <v>134</v>
      </c>
      <c r="C173">
        <v>70</v>
      </c>
      <c r="D173">
        <v>23</v>
      </c>
      <c r="E173">
        <v>130</v>
      </c>
      <c r="F173">
        <v>35.4</v>
      </c>
      <c r="G173">
        <v>0.54200000000000004</v>
      </c>
      <c r="H173">
        <v>29</v>
      </c>
      <c r="I173">
        <v>1</v>
      </c>
    </row>
    <row r="174" spans="1:9" x14ac:dyDescent="0.3">
      <c r="A174">
        <v>2</v>
      </c>
      <c r="B174">
        <v>87</v>
      </c>
      <c r="C174">
        <v>0</v>
      </c>
      <c r="D174">
        <v>23</v>
      </c>
      <c r="E174">
        <v>0</v>
      </c>
      <c r="F174">
        <v>28.9</v>
      </c>
      <c r="G174">
        <v>0.77300000000000002</v>
      </c>
      <c r="H174">
        <v>25</v>
      </c>
      <c r="I174">
        <v>0</v>
      </c>
    </row>
    <row r="175" spans="1:9" x14ac:dyDescent="0.3">
      <c r="A175">
        <v>1</v>
      </c>
      <c r="B175">
        <v>79</v>
      </c>
      <c r="C175">
        <v>60</v>
      </c>
      <c r="D175">
        <v>42</v>
      </c>
      <c r="E175">
        <v>48</v>
      </c>
      <c r="F175">
        <v>43.5</v>
      </c>
      <c r="G175">
        <v>0.67800000000000005</v>
      </c>
      <c r="H175">
        <v>23</v>
      </c>
      <c r="I175">
        <v>0</v>
      </c>
    </row>
    <row r="176" spans="1:9" x14ac:dyDescent="0.3">
      <c r="A176">
        <v>2</v>
      </c>
      <c r="B176">
        <v>75</v>
      </c>
      <c r="C176">
        <v>64</v>
      </c>
      <c r="D176">
        <v>24</v>
      </c>
      <c r="E176">
        <v>55</v>
      </c>
      <c r="F176">
        <v>29.7</v>
      </c>
      <c r="G176">
        <v>0.37</v>
      </c>
      <c r="H176">
        <v>33</v>
      </c>
      <c r="I176">
        <v>0</v>
      </c>
    </row>
    <row r="177" spans="1:9" x14ac:dyDescent="0.3">
      <c r="A177">
        <v>8</v>
      </c>
      <c r="B177">
        <v>179</v>
      </c>
      <c r="C177">
        <v>72</v>
      </c>
      <c r="D177">
        <v>42</v>
      </c>
      <c r="E177">
        <v>130</v>
      </c>
      <c r="F177">
        <v>32.700000000000003</v>
      </c>
      <c r="G177">
        <v>0.71899999999999997</v>
      </c>
      <c r="H177">
        <v>36</v>
      </c>
      <c r="I177">
        <v>1</v>
      </c>
    </row>
    <row r="178" spans="1:9" x14ac:dyDescent="0.3">
      <c r="A178">
        <v>6</v>
      </c>
      <c r="B178">
        <v>85</v>
      </c>
      <c r="C178">
        <v>78</v>
      </c>
      <c r="D178">
        <v>0</v>
      </c>
      <c r="E178">
        <v>0</v>
      </c>
      <c r="F178">
        <v>31.2</v>
      </c>
      <c r="G178">
        <v>0.38200000000000001</v>
      </c>
      <c r="H178">
        <v>42</v>
      </c>
      <c r="I178">
        <v>0</v>
      </c>
    </row>
    <row r="179" spans="1:9" x14ac:dyDescent="0.3">
      <c r="A179">
        <v>0</v>
      </c>
      <c r="B179">
        <v>129</v>
      </c>
      <c r="C179">
        <v>110</v>
      </c>
      <c r="D179">
        <v>46</v>
      </c>
      <c r="E179">
        <v>130</v>
      </c>
      <c r="F179">
        <v>67.099999999999994</v>
      </c>
      <c r="G179">
        <v>0.31900000000000001</v>
      </c>
      <c r="H179">
        <v>26</v>
      </c>
      <c r="I179">
        <v>1</v>
      </c>
    </row>
    <row r="180" spans="1:9" x14ac:dyDescent="0.3">
      <c r="A180">
        <v>5</v>
      </c>
      <c r="B180">
        <v>143</v>
      </c>
      <c r="C180">
        <v>78</v>
      </c>
      <c r="D180">
        <v>0</v>
      </c>
      <c r="E180">
        <v>0</v>
      </c>
      <c r="F180">
        <v>45</v>
      </c>
      <c r="G180">
        <v>0.19</v>
      </c>
      <c r="H180">
        <v>47</v>
      </c>
      <c r="I180">
        <v>0</v>
      </c>
    </row>
    <row r="181" spans="1:9" x14ac:dyDescent="0.3">
      <c r="A181">
        <v>5</v>
      </c>
      <c r="B181">
        <v>130</v>
      </c>
      <c r="C181">
        <v>82</v>
      </c>
      <c r="D181">
        <v>0</v>
      </c>
      <c r="E181">
        <v>0</v>
      </c>
      <c r="F181">
        <v>39.1</v>
      </c>
      <c r="G181">
        <v>0.95599999999999996</v>
      </c>
      <c r="H181">
        <v>37</v>
      </c>
      <c r="I181">
        <v>1</v>
      </c>
    </row>
    <row r="182" spans="1:9" x14ac:dyDescent="0.3">
      <c r="A182">
        <v>6</v>
      </c>
      <c r="B182">
        <v>87</v>
      </c>
      <c r="C182">
        <v>80</v>
      </c>
      <c r="D182">
        <v>0</v>
      </c>
      <c r="E182">
        <v>0</v>
      </c>
      <c r="F182">
        <v>23.2</v>
      </c>
      <c r="G182">
        <v>8.4000000000000005E-2</v>
      </c>
      <c r="H182">
        <v>32</v>
      </c>
      <c r="I182">
        <v>0</v>
      </c>
    </row>
    <row r="183" spans="1:9" x14ac:dyDescent="0.3">
      <c r="A183">
        <v>0</v>
      </c>
      <c r="B183">
        <v>119</v>
      </c>
      <c r="C183">
        <v>64</v>
      </c>
      <c r="D183">
        <v>18</v>
      </c>
      <c r="E183">
        <v>92</v>
      </c>
      <c r="F183">
        <v>34.9</v>
      </c>
      <c r="G183">
        <v>0.72499999999999998</v>
      </c>
      <c r="H183">
        <v>23</v>
      </c>
      <c r="I183">
        <v>0</v>
      </c>
    </row>
    <row r="184" spans="1:9" x14ac:dyDescent="0.3">
      <c r="A184">
        <v>1</v>
      </c>
      <c r="B184">
        <v>0</v>
      </c>
      <c r="C184">
        <v>74</v>
      </c>
      <c r="D184">
        <v>20</v>
      </c>
      <c r="E184">
        <v>23</v>
      </c>
      <c r="F184">
        <v>27.7</v>
      </c>
      <c r="G184">
        <v>0.29899999999999999</v>
      </c>
      <c r="H184">
        <v>21</v>
      </c>
      <c r="I184">
        <v>0</v>
      </c>
    </row>
    <row r="185" spans="1:9" x14ac:dyDescent="0.3">
      <c r="A185">
        <v>5</v>
      </c>
      <c r="B185">
        <v>73</v>
      </c>
      <c r="C185">
        <v>60</v>
      </c>
      <c r="D185">
        <v>0</v>
      </c>
      <c r="E185">
        <v>0</v>
      </c>
      <c r="F185">
        <v>26.8</v>
      </c>
      <c r="G185">
        <v>0.26800000000000002</v>
      </c>
      <c r="H185">
        <v>27</v>
      </c>
      <c r="I185">
        <v>0</v>
      </c>
    </row>
    <row r="186" spans="1:9" x14ac:dyDescent="0.3">
      <c r="A186">
        <v>4</v>
      </c>
      <c r="B186">
        <v>141</v>
      </c>
      <c r="C186">
        <v>74</v>
      </c>
      <c r="D186">
        <v>0</v>
      </c>
      <c r="E186">
        <v>0</v>
      </c>
      <c r="F186">
        <v>27.6</v>
      </c>
      <c r="G186">
        <v>0.24399999999999999</v>
      </c>
      <c r="H186">
        <v>40</v>
      </c>
      <c r="I186">
        <v>0</v>
      </c>
    </row>
    <row r="187" spans="1:9" x14ac:dyDescent="0.3">
      <c r="A187">
        <v>7</v>
      </c>
      <c r="B187">
        <v>194</v>
      </c>
      <c r="C187">
        <v>68</v>
      </c>
      <c r="D187">
        <v>28</v>
      </c>
      <c r="E187">
        <v>0</v>
      </c>
      <c r="F187">
        <v>35.9</v>
      </c>
      <c r="G187">
        <v>0.745</v>
      </c>
      <c r="H187">
        <v>41</v>
      </c>
      <c r="I187">
        <v>1</v>
      </c>
    </row>
    <row r="188" spans="1:9" x14ac:dyDescent="0.3">
      <c r="A188">
        <v>8</v>
      </c>
      <c r="B188">
        <v>181</v>
      </c>
      <c r="C188">
        <v>68</v>
      </c>
      <c r="D188">
        <v>36</v>
      </c>
      <c r="E188">
        <v>495</v>
      </c>
      <c r="F188">
        <v>30.1</v>
      </c>
      <c r="G188">
        <v>0.61499999999999999</v>
      </c>
      <c r="H188">
        <v>60</v>
      </c>
      <c r="I188">
        <v>1</v>
      </c>
    </row>
    <row r="189" spans="1:9" x14ac:dyDescent="0.3">
      <c r="A189">
        <v>1</v>
      </c>
      <c r="B189">
        <v>128</v>
      </c>
      <c r="C189">
        <v>98</v>
      </c>
      <c r="D189">
        <v>41</v>
      </c>
      <c r="E189">
        <v>58</v>
      </c>
      <c r="F189">
        <v>32</v>
      </c>
      <c r="G189">
        <v>1.321</v>
      </c>
      <c r="H189">
        <v>33</v>
      </c>
      <c r="I189">
        <v>1</v>
      </c>
    </row>
    <row r="190" spans="1:9" x14ac:dyDescent="0.3">
      <c r="A190">
        <v>8</v>
      </c>
      <c r="B190">
        <v>109</v>
      </c>
      <c r="C190">
        <v>76</v>
      </c>
      <c r="D190">
        <v>39</v>
      </c>
      <c r="E190">
        <v>114</v>
      </c>
      <c r="F190">
        <v>27.9</v>
      </c>
      <c r="G190">
        <v>0.64</v>
      </c>
      <c r="H190">
        <v>31</v>
      </c>
      <c r="I190">
        <v>1</v>
      </c>
    </row>
    <row r="191" spans="1:9" x14ac:dyDescent="0.3">
      <c r="A191">
        <v>5</v>
      </c>
      <c r="B191">
        <v>139</v>
      </c>
      <c r="C191">
        <v>80</v>
      </c>
      <c r="D191">
        <v>35</v>
      </c>
      <c r="E191">
        <v>160</v>
      </c>
      <c r="F191">
        <v>31.6</v>
      </c>
      <c r="G191">
        <v>0.36099999999999999</v>
      </c>
      <c r="H191">
        <v>25</v>
      </c>
      <c r="I191">
        <v>1</v>
      </c>
    </row>
    <row r="192" spans="1:9" x14ac:dyDescent="0.3">
      <c r="A192">
        <v>3</v>
      </c>
      <c r="B192">
        <v>111</v>
      </c>
      <c r="C192">
        <v>62</v>
      </c>
      <c r="D192">
        <v>0</v>
      </c>
      <c r="E192">
        <v>0</v>
      </c>
      <c r="F192">
        <v>22.6</v>
      </c>
      <c r="G192">
        <v>0.14199999999999999</v>
      </c>
      <c r="H192">
        <v>21</v>
      </c>
      <c r="I192">
        <v>0</v>
      </c>
    </row>
    <row r="193" spans="1:9" x14ac:dyDescent="0.3">
      <c r="A193">
        <v>9</v>
      </c>
      <c r="B193">
        <v>123</v>
      </c>
      <c r="C193">
        <v>70</v>
      </c>
      <c r="D193">
        <v>44</v>
      </c>
      <c r="E193">
        <v>94</v>
      </c>
      <c r="F193">
        <v>33.1</v>
      </c>
      <c r="G193">
        <v>0.374</v>
      </c>
      <c r="H193">
        <v>40</v>
      </c>
      <c r="I193">
        <v>0</v>
      </c>
    </row>
    <row r="194" spans="1:9" x14ac:dyDescent="0.3">
      <c r="A194">
        <v>7</v>
      </c>
      <c r="B194">
        <v>159</v>
      </c>
      <c r="C194">
        <v>66</v>
      </c>
      <c r="D194">
        <v>0</v>
      </c>
      <c r="E194">
        <v>0</v>
      </c>
      <c r="F194">
        <v>30.4</v>
      </c>
      <c r="G194">
        <v>0.38300000000000001</v>
      </c>
      <c r="H194">
        <v>36</v>
      </c>
      <c r="I194">
        <v>1</v>
      </c>
    </row>
    <row r="195" spans="1:9" x14ac:dyDescent="0.3">
      <c r="A195">
        <v>11</v>
      </c>
      <c r="B195">
        <v>135</v>
      </c>
      <c r="C195">
        <v>0</v>
      </c>
      <c r="D195">
        <v>0</v>
      </c>
      <c r="E195">
        <v>0</v>
      </c>
      <c r="F195">
        <v>52.3</v>
      </c>
      <c r="G195">
        <v>0.57799999999999996</v>
      </c>
      <c r="H195">
        <v>40</v>
      </c>
      <c r="I195">
        <v>1</v>
      </c>
    </row>
    <row r="196" spans="1:9" x14ac:dyDescent="0.3">
      <c r="A196">
        <v>8</v>
      </c>
      <c r="B196">
        <v>85</v>
      </c>
      <c r="C196">
        <v>55</v>
      </c>
      <c r="D196">
        <v>20</v>
      </c>
      <c r="E196">
        <v>0</v>
      </c>
      <c r="F196">
        <v>24.4</v>
      </c>
      <c r="G196">
        <v>0.13600000000000001</v>
      </c>
      <c r="H196">
        <v>42</v>
      </c>
      <c r="I196">
        <v>0</v>
      </c>
    </row>
    <row r="197" spans="1:9" x14ac:dyDescent="0.3">
      <c r="A197">
        <v>5</v>
      </c>
      <c r="B197">
        <v>158</v>
      </c>
      <c r="C197">
        <v>84</v>
      </c>
      <c r="D197">
        <v>41</v>
      </c>
      <c r="E197">
        <v>210</v>
      </c>
      <c r="F197">
        <v>39.4</v>
      </c>
      <c r="G197">
        <v>0.39500000000000002</v>
      </c>
      <c r="H197">
        <v>29</v>
      </c>
      <c r="I197">
        <v>1</v>
      </c>
    </row>
    <row r="198" spans="1:9" x14ac:dyDescent="0.3">
      <c r="A198">
        <v>1</v>
      </c>
      <c r="B198">
        <v>105</v>
      </c>
      <c r="C198">
        <v>58</v>
      </c>
      <c r="D198">
        <v>0</v>
      </c>
      <c r="E198">
        <v>0</v>
      </c>
      <c r="F198">
        <v>24.3</v>
      </c>
      <c r="G198">
        <v>0.187</v>
      </c>
      <c r="H198">
        <v>21</v>
      </c>
      <c r="I198">
        <v>0</v>
      </c>
    </row>
    <row r="199" spans="1:9" x14ac:dyDescent="0.3">
      <c r="A199">
        <v>3</v>
      </c>
      <c r="B199">
        <v>107</v>
      </c>
      <c r="C199">
        <v>62</v>
      </c>
      <c r="D199">
        <v>13</v>
      </c>
      <c r="E199">
        <v>48</v>
      </c>
      <c r="F199">
        <v>22.9</v>
      </c>
      <c r="G199">
        <v>0.67800000000000005</v>
      </c>
      <c r="H199">
        <v>23</v>
      </c>
      <c r="I199">
        <v>1</v>
      </c>
    </row>
    <row r="200" spans="1:9" x14ac:dyDescent="0.3">
      <c r="A200">
        <v>4</v>
      </c>
      <c r="B200">
        <v>109</v>
      </c>
      <c r="C200">
        <v>64</v>
      </c>
      <c r="D200">
        <v>44</v>
      </c>
      <c r="E200">
        <v>99</v>
      </c>
      <c r="F200">
        <v>34.799999999999997</v>
      </c>
      <c r="G200">
        <v>0.90500000000000003</v>
      </c>
      <c r="H200">
        <v>26</v>
      </c>
      <c r="I200">
        <v>1</v>
      </c>
    </row>
    <row r="201" spans="1:9" x14ac:dyDescent="0.3">
      <c r="A201">
        <v>4</v>
      </c>
      <c r="B201">
        <v>148</v>
      </c>
      <c r="C201">
        <v>60</v>
      </c>
      <c r="D201">
        <v>27</v>
      </c>
      <c r="E201">
        <v>318</v>
      </c>
      <c r="F201">
        <v>30.9</v>
      </c>
      <c r="G201">
        <v>0.15</v>
      </c>
      <c r="H201">
        <v>29</v>
      </c>
      <c r="I201">
        <v>1</v>
      </c>
    </row>
    <row r="202" spans="1:9" x14ac:dyDescent="0.3">
      <c r="A202">
        <v>0</v>
      </c>
      <c r="B202">
        <v>113</v>
      </c>
      <c r="C202">
        <v>80</v>
      </c>
      <c r="D202">
        <v>16</v>
      </c>
      <c r="E202">
        <v>0</v>
      </c>
      <c r="F202">
        <v>31</v>
      </c>
      <c r="G202">
        <v>0.874</v>
      </c>
      <c r="H202">
        <v>21</v>
      </c>
      <c r="I202">
        <v>0</v>
      </c>
    </row>
    <row r="203" spans="1:9" x14ac:dyDescent="0.3">
      <c r="A203">
        <v>1</v>
      </c>
      <c r="B203">
        <v>138</v>
      </c>
      <c r="C203">
        <v>82</v>
      </c>
      <c r="D203">
        <v>0</v>
      </c>
      <c r="E203">
        <v>0</v>
      </c>
      <c r="F203">
        <v>40.1</v>
      </c>
      <c r="G203">
        <v>0.23599999999999999</v>
      </c>
      <c r="H203">
        <v>28</v>
      </c>
      <c r="I203">
        <v>0</v>
      </c>
    </row>
    <row r="204" spans="1:9" x14ac:dyDescent="0.3">
      <c r="A204">
        <v>0</v>
      </c>
      <c r="B204">
        <v>108</v>
      </c>
      <c r="C204">
        <v>68</v>
      </c>
      <c r="D204">
        <v>20</v>
      </c>
      <c r="E204">
        <v>0</v>
      </c>
      <c r="F204">
        <v>27.3</v>
      </c>
      <c r="G204">
        <v>0.78700000000000003</v>
      </c>
      <c r="H204">
        <v>32</v>
      </c>
      <c r="I204">
        <v>0</v>
      </c>
    </row>
    <row r="205" spans="1:9" x14ac:dyDescent="0.3">
      <c r="A205">
        <v>2</v>
      </c>
      <c r="B205">
        <v>99</v>
      </c>
      <c r="C205">
        <v>70</v>
      </c>
      <c r="D205">
        <v>16</v>
      </c>
      <c r="E205">
        <v>44</v>
      </c>
      <c r="F205">
        <v>20.399999999999999</v>
      </c>
      <c r="G205">
        <v>0.23499999999999999</v>
      </c>
      <c r="H205">
        <v>27</v>
      </c>
      <c r="I205">
        <v>0</v>
      </c>
    </row>
    <row r="206" spans="1:9" x14ac:dyDescent="0.3">
      <c r="A206">
        <v>6</v>
      </c>
      <c r="B206">
        <v>103</v>
      </c>
      <c r="C206">
        <v>72</v>
      </c>
      <c r="D206">
        <v>32</v>
      </c>
      <c r="E206">
        <v>190</v>
      </c>
      <c r="F206">
        <v>37.700000000000003</v>
      </c>
      <c r="G206">
        <v>0.32400000000000001</v>
      </c>
      <c r="H206">
        <v>55</v>
      </c>
      <c r="I206">
        <v>0</v>
      </c>
    </row>
    <row r="207" spans="1:9" x14ac:dyDescent="0.3">
      <c r="A207">
        <v>5</v>
      </c>
      <c r="B207">
        <v>111</v>
      </c>
      <c r="C207">
        <v>72</v>
      </c>
      <c r="D207">
        <v>28</v>
      </c>
      <c r="E207">
        <v>0</v>
      </c>
      <c r="F207">
        <v>23.9</v>
      </c>
      <c r="G207">
        <v>0.40699999999999997</v>
      </c>
      <c r="H207">
        <v>27</v>
      </c>
      <c r="I207">
        <v>0</v>
      </c>
    </row>
    <row r="208" spans="1:9" x14ac:dyDescent="0.3">
      <c r="A208">
        <v>8</v>
      </c>
      <c r="B208">
        <v>196</v>
      </c>
      <c r="C208">
        <v>76</v>
      </c>
      <c r="D208">
        <v>29</v>
      </c>
      <c r="E208">
        <v>280</v>
      </c>
      <c r="F208">
        <v>37.5</v>
      </c>
      <c r="G208">
        <v>0.60499999999999998</v>
      </c>
      <c r="H208">
        <v>57</v>
      </c>
      <c r="I208">
        <v>1</v>
      </c>
    </row>
    <row r="209" spans="1:9" x14ac:dyDescent="0.3">
      <c r="A209">
        <v>5</v>
      </c>
      <c r="B209">
        <v>162</v>
      </c>
      <c r="C209">
        <v>104</v>
      </c>
      <c r="D209">
        <v>0</v>
      </c>
      <c r="E209">
        <v>0</v>
      </c>
      <c r="F209">
        <v>37.700000000000003</v>
      </c>
      <c r="G209">
        <v>0.151</v>
      </c>
      <c r="H209">
        <v>52</v>
      </c>
      <c r="I209">
        <v>1</v>
      </c>
    </row>
    <row r="210" spans="1:9" x14ac:dyDescent="0.3">
      <c r="A210">
        <v>1</v>
      </c>
      <c r="B210">
        <v>96</v>
      </c>
      <c r="C210">
        <v>64</v>
      </c>
      <c r="D210">
        <v>27</v>
      </c>
      <c r="E210">
        <v>87</v>
      </c>
      <c r="F210">
        <v>33.200000000000003</v>
      </c>
      <c r="G210">
        <v>0.28899999999999998</v>
      </c>
      <c r="H210">
        <v>21</v>
      </c>
      <c r="I210">
        <v>0</v>
      </c>
    </row>
    <row r="211" spans="1:9" x14ac:dyDescent="0.3">
      <c r="A211">
        <v>7</v>
      </c>
      <c r="B211">
        <v>184</v>
      </c>
      <c r="C211">
        <v>84</v>
      </c>
      <c r="D211">
        <v>33</v>
      </c>
      <c r="E211">
        <v>0</v>
      </c>
      <c r="F211">
        <v>35.5</v>
      </c>
      <c r="G211">
        <v>0.35499999999999998</v>
      </c>
      <c r="H211">
        <v>41</v>
      </c>
      <c r="I211">
        <v>1</v>
      </c>
    </row>
    <row r="212" spans="1:9" x14ac:dyDescent="0.3">
      <c r="A212">
        <v>2</v>
      </c>
      <c r="B212">
        <v>81</v>
      </c>
      <c r="C212">
        <v>60</v>
      </c>
      <c r="D212">
        <v>22</v>
      </c>
      <c r="E212">
        <v>0</v>
      </c>
      <c r="F212">
        <v>27.7</v>
      </c>
      <c r="G212">
        <v>0.28999999999999998</v>
      </c>
      <c r="H212">
        <v>25</v>
      </c>
      <c r="I212">
        <v>0</v>
      </c>
    </row>
    <row r="213" spans="1:9" x14ac:dyDescent="0.3">
      <c r="A213">
        <v>0</v>
      </c>
      <c r="B213">
        <v>147</v>
      </c>
      <c r="C213">
        <v>85</v>
      </c>
      <c r="D213">
        <v>54</v>
      </c>
      <c r="E213">
        <v>0</v>
      </c>
      <c r="F213">
        <v>42.8</v>
      </c>
      <c r="G213">
        <v>0.375</v>
      </c>
      <c r="H213">
        <v>24</v>
      </c>
      <c r="I213">
        <v>0</v>
      </c>
    </row>
    <row r="214" spans="1:9" x14ac:dyDescent="0.3">
      <c r="A214">
        <v>7</v>
      </c>
      <c r="B214">
        <v>179</v>
      </c>
      <c r="C214">
        <v>95</v>
      </c>
      <c r="D214">
        <v>31</v>
      </c>
      <c r="E214">
        <v>0</v>
      </c>
      <c r="F214">
        <v>34.200000000000003</v>
      </c>
      <c r="G214">
        <v>0.16400000000000001</v>
      </c>
      <c r="H214">
        <v>60</v>
      </c>
      <c r="I214">
        <v>0</v>
      </c>
    </row>
    <row r="215" spans="1:9" x14ac:dyDescent="0.3">
      <c r="A215">
        <v>0</v>
      </c>
      <c r="B215">
        <v>140</v>
      </c>
      <c r="C215">
        <v>65</v>
      </c>
      <c r="D215">
        <v>26</v>
      </c>
      <c r="E215">
        <v>130</v>
      </c>
      <c r="F215">
        <v>42.6</v>
      </c>
      <c r="G215">
        <v>0.43099999999999999</v>
      </c>
      <c r="H215">
        <v>24</v>
      </c>
      <c r="I215">
        <v>1</v>
      </c>
    </row>
    <row r="216" spans="1:9" x14ac:dyDescent="0.3">
      <c r="A216">
        <v>9</v>
      </c>
      <c r="B216">
        <v>112</v>
      </c>
      <c r="C216">
        <v>82</v>
      </c>
      <c r="D216">
        <v>32</v>
      </c>
      <c r="E216">
        <v>175</v>
      </c>
      <c r="F216">
        <v>34.200000000000003</v>
      </c>
      <c r="G216">
        <v>0.26</v>
      </c>
      <c r="H216">
        <v>36</v>
      </c>
      <c r="I216">
        <v>1</v>
      </c>
    </row>
    <row r="217" spans="1:9" x14ac:dyDescent="0.3">
      <c r="A217">
        <v>12</v>
      </c>
      <c r="B217">
        <v>151</v>
      </c>
      <c r="C217">
        <v>70</v>
      </c>
      <c r="D217">
        <v>40</v>
      </c>
      <c r="E217">
        <v>271</v>
      </c>
      <c r="F217">
        <v>41.8</v>
      </c>
      <c r="G217">
        <v>0.74199999999999999</v>
      </c>
      <c r="H217">
        <v>38</v>
      </c>
      <c r="I217">
        <v>1</v>
      </c>
    </row>
    <row r="218" spans="1:9" x14ac:dyDescent="0.3">
      <c r="A218">
        <v>5</v>
      </c>
      <c r="B218">
        <v>109</v>
      </c>
      <c r="C218">
        <v>62</v>
      </c>
      <c r="D218">
        <v>41</v>
      </c>
      <c r="E218">
        <v>129</v>
      </c>
      <c r="F218">
        <v>35.799999999999997</v>
      </c>
      <c r="G218">
        <v>0.51400000000000001</v>
      </c>
      <c r="H218">
        <v>25</v>
      </c>
      <c r="I218">
        <v>1</v>
      </c>
    </row>
    <row r="219" spans="1:9" x14ac:dyDescent="0.3">
      <c r="A219">
        <v>6</v>
      </c>
      <c r="B219">
        <v>125</v>
      </c>
      <c r="C219">
        <v>68</v>
      </c>
      <c r="D219">
        <v>30</v>
      </c>
      <c r="E219">
        <v>120</v>
      </c>
      <c r="F219">
        <v>30</v>
      </c>
      <c r="G219">
        <v>0.46400000000000002</v>
      </c>
      <c r="H219">
        <v>32</v>
      </c>
      <c r="I219">
        <v>0</v>
      </c>
    </row>
    <row r="220" spans="1:9" x14ac:dyDescent="0.3">
      <c r="A220">
        <v>5</v>
      </c>
      <c r="B220">
        <v>85</v>
      </c>
      <c r="C220">
        <v>74</v>
      </c>
      <c r="D220">
        <v>22</v>
      </c>
      <c r="E220">
        <v>0</v>
      </c>
      <c r="F220">
        <v>29</v>
      </c>
      <c r="G220">
        <v>1.224</v>
      </c>
      <c r="H220">
        <v>32</v>
      </c>
      <c r="I220">
        <v>1</v>
      </c>
    </row>
    <row r="221" spans="1:9" x14ac:dyDescent="0.3">
      <c r="A221">
        <v>5</v>
      </c>
      <c r="B221">
        <v>112</v>
      </c>
      <c r="C221">
        <v>66</v>
      </c>
      <c r="D221">
        <v>0</v>
      </c>
      <c r="E221">
        <v>0</v>
      </c>
      <c r="F221">
        <v>37.799999999999997</v>
      </c>
      <c r="G221">
        <v>0.26100000000000001</v>
      </c>
      <c r="H221">
        <v>41</v>
      </c>
      <c r="I221">
        <v>1</v>
      </c>
    </row>
    <row r="222" spans="1:9" x14ac:dyDescent="0.3">
      <c r="A222">
        <v>0</v>
      </c>
      <c r="B222">
        <v>177</v>
      </c>
      <c r="C222">
        <v>60</v>
      </c>
      <c r="D222">
        <v>29</v>
      </c>
      <c r="E222">
        <v>478</v>
      </c>
      <c r="F222">
        <v>34.6</v>
      </c>
      <c r="G222">
        <v>1.0720000000000001</v>
      </c>
      <c r="H222">
        <v>21</v>
      </c>
      <c r="I222">
        <v>1</v>
      </c>
    </row>
    <row r="223" spans="1:9" x14ac:dyDescent="0.3">
      <c r="A223">
        <v>2</v>
      </c>
      <c r="B223">
        <v>158</v>
      </c>
      <c r="C223">
        <v>90</v>
      </c>
      <c r="D223">
        <v>0</v>
      </c>
      <c r="E223">
        <v>0</v>
      </c>
      <c r="F223">
        <v>31.6</v>
      </c>
      <c r="G223">
        <v>0.80500000000000005</v>
      </c>
      <c r="H223">
        <v>66</v>
      </c>
      <c r="I223">
        <v>1</v>
      </c>
    </row>
    <row r="224" spans="1:9" x14ac:dyDescent="0.3">
      <c r="A224">
        <v>7</v>
      </c>
      <c r="B224">
        <v>119</v>
      </c>
      <c r="C224">
        <v>0</v>
      </c>
      <c r="D224">
        <v>0</v>
      </c>
      <c r="E224">
        <v>0</v>
      </c>
      <c r="F224">
        <v>25.2</v>
      </c>
      <c r="G224">
        <v>0.20899999999999999</v>
      </c>
      <c r="H224">
        <v>37</v>
      </c>
      <c r="I224">
        <v>0</v>
      </c>
    </row>
    <row r="225" spans="1:9" x14ac:dyDescent="0.3">
      <c r="A225">
        <v>7</v>
      </c>
      <c r="B225">
        <v>142</v>
      </c>
      <c r="C225">
        <v>60</v>
      </c>
      <c r="D225">
        <v>33</v>
      </c>
      <c r="E225">
        <v>190</v>
      </c>
      <c r="F225">
        <v>28.8</v>
      </c>
      <c r="G225">
        <v>0.68700000000000006</v>
      </c>
      <c r="H225">
        <v>61</v>
      </c>
      <c r="I225">
        <v>0</v>
      </c>
    </row>
    <row r="226" spans="1:9" x14ac:dyDescent="0.3">
      <c r="A226">
        <v>1</v>
      </c>
      <c r="B226">
        <v>100</v>
      </c>
      <c r="C226">
        <v>66</v>
      </c>
      <c r="D226">
        <v>15</v>
      </c>
      <c r="E226">
        <v>56</v>
      </c>
      <c r="F226">
        <v>23.6</v>
      </c>
      <c r="G226">
        <v>0.66600000000000004</v>
      </c>
      <c r="H226">
        <v>26</v>
      </c>
      <c r="I226">
        <v>0</v>
      </c>
    </row>
    <row r="227" spans="1:9" x14ac:dyDescent="0.3">
      <c r="A227">
        <v>1</v>
      </c>
      <c r="B227">
        <v>87</v>
      </c>
      <c r="C227">
        <v>78</v>
      </c>
      <c r="D227">
        <v>27</v>
      </c>
      <c r="E227">
        <v>32</v>
      </c>
      <c r="F227">
        <v>34.6</v>
      </c>
      <c r="G227">
        <v>0.10100000000000001</v>
      </c>
      <c r="H227">
        <v>22</v>
      </c>
      <c r="I227">
        <v>0</v>
      </c>
    </row>
    <row r="228" spans="1:9" x14ac:dyDescent="0.3">
      <c r="A228">
        <v>0</v>
      </c>
      <c r="B228">
        <v>101</v>
      </c>
      <c r="C228">
        <v>76</v>
      </c>
      <c r="D228">
        <v>0</v>
      </c>
      <c r="E228">
        <v>0</v>
      </c>
      <c r="F228">
        <v>35.700000000000003</v>
      </c>
      <c r="G228">
        <v>0.19800000000000001</v>
      </c>
      <c r="H228">
        <v>26</v>
      </c>
      <c r="I228">
        <v>0</v>
      </c>
    </row>
    <row r="229" spans="1:9" x14ac:dyDescent="0.3">
      <c r="A229">
        <v>3</v>
      </c>
      <c r="B229">
        <v>162</v>
      </c>
      <c r="C229">
        <v>52</v>
      </c>
      <c r="D229">
        <v>38</v>
      </c>
      <c r="E229">
        <v>0</v>
      </c>
      <c r="F229">
        <v>37.200000000000003</v>
      </c>
      <c r="G229">
        <v>0.65200000000000002</v>
      </c>
      <c r="H229">
        <v>24</v>
      </c>
      <c r="I229">
        <v>1</v>
      </c>
    </row>
    <row r="230" spans="1:9" x14ac:dyDescent="0.3">
      <c r="A230">
        <v>4</v>
      </c>
      <c r="B230">
        <v>197</v>
      </c>
      <c r="C230">
        <v>70</v>
      </c>
      <c r="D230">
        <v>39</v>
      </c>
      <c r="E230">
        <v>744</v>
      </c>
      <c r="F230">
        <v>36.700000000000003</v>
      </c>
      <c r="G230">
        <v>2.3290000000000002</v>
      </c>
      <c r="H230">
        <v>31</v>
      </c>
      <c r="I230">
        <v>0</v>
      </c>
    </row>
    <row r="231" spans="1:9" x14ac:dyDescent="0.3">
      <c r="A231">
        <v>0</v>
      </c>
      <c r="B231">
        <v>117</v>
      </c>
      <c r="C231">
        <v>80</v>
      </c>
      <c r="D231">
        <v>31</v>
      </c>
      <c r="E231">
        <v>53</v>
      </c>
      <c r="F231">
        <v>45.2</v>
      </c>
      <c r="G231">
        <v>8.8999999999999996E-2</v>
      </c>
      <c r="H231">
        <v>24</v>
      </c>
      <c r="I231">
        <v>0</v>
      </c>
    </row>
    <row r="232" spans="1:9" x14ac:dyDescent="0.3">
      <c r="A232">
        <v>4</v>
      </c>
      <c r="B232">
        <v>142</v>
      </c>
      <c r="C232">
        <v>86</v>
      </c>
      <c r="D232">
        <v>0</v>
      </c>
      <c r="E232">
        <v>0</v>
      </c>
      <c r="F232">
        <v>44</v>
      </c>
      <c r="G232">
        <v>0.64500000000000002</v>
      </c>
      <c r="H232">
        <v>22</v>
      </c>
      <c r="I232">
        <v>1</v>
      </c>
    </row>
    <row r="233" spans="1:9" x14ac:dyDescent="0.3">
      <c r="A233">
        <v>6</v>
      </c>
      <c r="B233">
        <v>134</v>
      </c>
      <c r="C233">
        <v>80</v>
      </c>
      <c r="D233">
        <v>37</v>
      </c>
      <c r="E233">
        <v>370</v>
      </c>
      <c r="F233">
        <v>46.2</v>
      </c>
      <c r="G233">
        <v>0.23799999999999999</v>
      </c>
      <c r="H233">
        <v>46</v>
      </c>
      <c r="I233">
        <v>1</v>
      </c>
    </row>
    <row r="234" spans="1:9" x14ac:dyDescent="0.3">
      <c r="A234">
        <v>1</v>
      </c>
      <c r="B234">
        <v>79</v>
      </c>
      <c r="C234">
        <v>80</v>
      </c>
      <c r="D234">
        <v>25</v>
      </c>
      <c r="E234">
        <v>37</v>
      </c>
      <c r="F234">
        <v>25.4</v>
      </c>
      <c r="G234">
        <v>0.58299999999999996</v>
      </c>
      <c r="H234">
        <v>22</v>
      </c>
      <c r="I234">
        <v>0</v>
      </c>
    </row>
    <row r="235" spans="1:9" x14ac:dyDescent="0.3">
      <c r="A235">
        <v>4</v>
      </c>
      <c r="B235">
        <v>122</v>
      </c>
      <c r="C235">
        <v>68</v>
      </c>
      <c r="D235">
        <v>0</v>
      </c>
      <c r="E235">
        <v>0</v>
      </c>
      <c r="F235">
        <v>35</v>
      </c>
      <c r="G235">
        <v>0.39400000000000002</v>
      </c>
      <c r="H235">
        <v>29</v>
      </c>
      <c r="I235">
        <v>0</v>
      </c>
    </row>
    <row r="236" spans="1:9" x14ac:dyDescent="0.3">
      <c r="A236">
        <v>3</v>
      </c>
      <c r="B236">
        <v>74</v>
      </c>
      <c r="C236">
        <v>68</v>
      </c>
      <c r="D236">
        <v>28</v>
      </c>
      <c r="E236">
        <v>45</v>
      </c>
      <c r="F236">
        <v>29.7</v>
      </c>
      <c r="G236">
        <v>0.29299999999999998</v>
      </c>
      <c r="H236">
        <v>23</v>
      </c>
      <c r="I236">
        <v>0</v>
      </c>
    </row>
    <row r="237" spans="1:9" x14ac:dyDescent="0.3">
      <c r="A237">
        <v>4</v>
      </c>
      <c r="B237">
        <v>171</v>
      </c>
      <c r="C237">
        <v>72</v>
      </c>
      <c r="D237">
        <v>0</v>
      </c>
      <c r="E237">
        <v>0</v>
      </c>
      <c r="F237">
        <v>43.6</v>
      </c>
      <c r="G237">
        <v>0.47899999999999998</v>
      </c>
      <c r="H237">
        <v>26</v>
      </c>
      <c r="I237">
        <v>1</v>
      </c>
    </row>
    <row r="238" spans="1:9" x14ac:dyDescent="0.3">
      <c r="A238">
        <v>7</v>
      </c>
      <c r="B238">
        <v>181</v>
      </c>
      <c r="C238">
        <v>84</v>
      </c>
      <c r="D238">
        <v>21</v>
      </c>
      <c r="E238">
        <v>192</v>
      </c>
      <c r="F238">
        <v>35.9</v>
      </c>
      <c r="G238">
        <v>0.58599999999999997</v>
      </c>
      <c r="H238">
        <v>51</v>
      </c>
      <c r="I238">
        <v>1</v>
      </c>
    </row>
    <row r="239" spans="1:9" x14ac:dyDescent="0.3">
      <c r="A239">
        <v>0</v>
      </c>
      <c r="B239">
        <v>179</v>
      </c>
      <c r="C239">
        <v>90</v>
      </c>
      <c r="D239">
        <v>27</v>
      </c>
      <c r="E239">
        <v>0</v>
      </c>
      <c r="F239">
        <v>44.1</v>
      </c>
      <c r="G239">
        <v>0.68600000000000005</v>
      </c>
      <c r="H239">
        <v>23</v>
      </c>
      <c r="I239">
        <v>1</v>
      </c>
    </row>
    <row r="240" spans="1:9" x14ac:dyDescent="0.3">
      <c r="A240">
        <v>9</v>
      </c>
      <c r="B240">
        <v>164</v>
      </c>
      <c r="C240">
        <v>84</v>
      </c>
      <c r="D240">
        <v>21</v>
      </c>
      <c r="E240">
        <v>0</v>
      </c>
      <c r="F240">
        <v>30.8</v>
      </c>
      <c r="G240">
        <v>0.83099999999999996</v>
      </c>
      <c r="H240">
        <v>32</v>
      </c>
      <c r="I240">
        <v>1</v>
      </c>
    </row>
    <row r="241" spans="1:9" x14ac:dyDescent="0.3">
      <c r="A241">
        <v>0</v>
      </c>
      <c r="B241">
        <v>104</v>
      </c>
      <c r="C241">
        <v>76</v>
      </c>
      <c r="D241">
        <v>0</v>
      </c>
      <c r="E241">
        <v>0</v>
      </c>
      <c r="F241">
        <v>18.399999999999999</v>
      </c>
      <c r="G241">
        <v>0.58199999999999996</v>
      </c>
      <c r="H241">
        <v>27</v>
      </c>
      <c r="I241">
        <v>0</v>
      </c>
    </row>
    <row r="242" spans="1:9" x14ac:dyDescent="0.3">
      <c r="A242">
        <v>1</v>
      </c>
      <c r="B242">
        <v>91</v>
      </c>
      <c r="C242">
        <v>64</v>
      </c>
      <c r="D242">
        <v>24</v>
      </c>
      <c r="E242">
        <v>0</v>
      </c>
      <c r="F242">
        <v>29.2</v>
      </c>
      <c r="G242">
        <v>0.192</v>
      </c>
      <c r="H242">
        <v>21</v>
      </c>
      <c r="I242">
        <v>0</v>
      </c>
    </row>
    <row r="243" spans="1:9" x14ac:dyDescent="0.3">
      <c r="A243">
        <v>4</v>
      </c>
      <c r="B243">
        <v>91</v>
      </c>
      <c r="C243">
        <v>70</v>
      </c>
      <c r="D243">
        <v>32</v>
      </c>
      <c r="E243">
        <v>88</v>
      </c>
      <c r="F243">
        <v>33.1</v>
      </c>
      <c r="G243">
        <v>0.44600000000000001</v>
      </c>
      <c r="H243">
        <v>22</v>
      </c>
      <c r="I243">
        <v>0</v>
      </c>
    </row>
    <row r="244" spans="1:9" x14ac:dyDescent="0.3">
      <c r="A244">
        <v>3</v>
      </c>
      <c r="B244">
        <v>139</v>
      </c>
      <c r="C244">
        <v>54</v>
      </c>
      <c r="D244">
        <v>0</v>
      </c>
      <c r="E244">
        <v>0</v>
      </c>
      <c r="F244">
        <v>25.6</v>
      </c>
      <c r="G244">
        <v>0.40200000000000002</v>
      </c>
      <c r="H244">
        <v>22</v>
      </c>
      <c r="I244">
        <v>1</v>
      </c>
    </row>
    <row r="245" spans="1:9" x14ac:dyDescent="0.3">
      <c r="A245">
        <v>6</v>
      </c>
      <c r="B245">
        <v>119</v>
      </c>
      <c r="C245">
        <v>50</v>
      </c>
      <c r="D245">
        <v>22</v>
      </c>
      <c r="E245">
        <v>176</v>
      </c>
      <c r="F245">
        <v>27.1</v>
      </c>
      <c r="G245">
        <v>1.3180000000000001</v>
      </c>
      <c r="H245">
        <v>33</v>
      </c>
      <c r="I245">
        <v>1</v>
      </c>
    </row>
    <row r="246" spans="1:9" x14ac:dyDescent="0.3">
      <c r="A246">
        <v>2</v>
      </c>
      <c r="B246">
        <v>146</v>
      </c>
      <c r="C246">
        <v>76</v>
      </c>
      <c r="D246">
        <v>35</v>
      </c>
      <c r="E246">
        <v>194</v>
      </c>
      <c r="F246">
        <v>38.200000000000003</v>
      </c>
      <c r="G246">
        <v>0.32900000000000001</v>
      </c>
      <c r="H246">
        <v>29</v>
      </c>
      <c r="I246">
        <v>0</v>
      </c>
    </row>
    <row r="247" spans="1:9" x14ac:dyDescent="0.3">
      <c r="A247">
        <v>9</v>
      </c>
      <c r="B247">
        <v>184</v>
      </c>
      <c r="C247">
        <v>85</v>
      </c>
      <c r="D247">
        <v>15</v>
      </c>
      <c r="E247">
        <v>0</v>
      </c>
      <c r="F247">
        <v>30</v>
      </c>
      <c r="G247">
        <v>1.2130000000000001</v>
      </c>
      <c r="H247">
        <v>49</v>
      </c>
      <c r="I247">
        <v>1</v>
      </c>
    </row>
    <row r="248" spans="1:9" x14ac:dyDescent="0.3">
      <c r="A248">
        <v>10</v>
      </c>
      <c r="B248">
        <v>122</v>
      </c>
      <c r="C248">
        <v>68</v>
      </c>
      <c r="D248">
        <v>0</v>
      </c>
      <c r="E248">
        <v>0</v>
      </c>
      <c r="F248">
        <v>31.2</v>
      </c>
      <c r="G248">
        <v>0.25800000000000001</v>
      </c>
      <c r="H248">
        <v>41</v>
      </c>
      <c r="I248">
        <v>0</v>
      </c>
    </row>
    <row r="249" spans="1:9" x14ac:dyDescent="0.3">
      <c r="A249">
        <v>0</v>
      </c>
      <c r="B249">
        <v>165</v>
      </c>
      <c r="C249">
        <v>90</v>
      </c>
      <c r="D249">
        <v>33</v>
      </c>
      <c r="E249">
        <v>680</v>
      </c>
      <c r="F249">
        <v>52.3</v>
      </c>
      <c r="G249">
        <v>0.42699999999999999</v>
      </c>
      <c r="H249">
        <v>23</v>
      </c>
      <c r="I249">
        <v>0</v>
      </c>
    </row>
    <row r="250" spans="1:9" x14ac:dyDescent="0.3">
      <c r="A250">
        <v>9</v>
      </c>
      <c r="B250">
        <v>124</v>
      </c>
      <c r="C250">
        <v>70</v>
      </c>
      <c r="D250">
        <v>33</v>
      </c>
      <c r="E250">
        <v>402</v>
      </c>
      <c r="F250">
        <v>35.4</v>
      </c>
      <c r="G250">
        <v>0.28199999999999997</v>
      </c>
      <c r="H250">
        <v>34</v>
      </c>
      <c r="I250">
        <v>0</v>
      </c>
    </row>
    <row r="251" spans="1:9" x14ac:dyDescent="0.3">
      <c r="A251">
        <v>1</v>
      </c>
      <c r="B251">
        <v>111</v>
      </c>
      <c r="C251">
        <v>86</v>
      </c>
      <c r="D251">
        <v>19</v>
      </c>
      <c r="E251">
        <v>0</v>
      </c>
      <c r="F251">
        <v>30.1</v>
      </c>
      <c r="G251">
        <v>0.14299999999999999</v>
      </c>
      <c r="H251">
        <v>23</v>
      </c>
      <c r="I251">
        <v>0</v>
      </c>
    </row>
    <row r="252" spans="1:9" x14ac:dyDescent="0.3">
      <c r="A252">
        <v>9</v>
      </c>
      <c r="B252">
        <v>106</v>
      </c>
      <c r="C252">
        <v>52</v>
      </c>
      <c r="D252">
        <v>0</v>
      </c>
      <c r="E252">
        <v>0</v>
      </c>
      <c r="F252">
        <v>31.2</v>
      </c>
      <c r="G252">
        <v>0.38</v>
      </c>
      <c r="H252">
        <v>42</v>
      </c>
      <c r="I252">
        <v>0</v>
      </c>
    </row>
    <row r="253" spans="1:9" x14ac:dyDescent="0.3">
      <c r="A253">
        <v>2</v>
      </c>
      <c r="B253">
        <v>129</v>
      </c>
      <c r="C253">
        <v>84</v>
      </c>
      <c r="D253">
        <v>0</v>
      </c>
      <c r="E253">
        <v>0</v>
      </c>
      <c r="F253">
        <v>28</v>
      </c>
      <c r="G253">
        <v>0.28399999999999997</v>
      </c>
      <c r="H253">
        <v>27</v>
      </c>
      <c r="I253">
        <v>0</v>
      </c>
    </row>
    <row r="254" spans="1:9" x14ac:dyDescent="0.3">
      <c r="A254">
        <v>2</v>
      </c>
      <c r="B254">
        <v>90</v>
      </c>
      <c r="C254">
        <v>80</v>
      </c>
      <c r="D254">
        <v>14</v>
      </c>
      <c r="E254">
        <v>55</v>
      </c>
      <c r="F254">
        <v>24.4</v>
      </c>
      <c r="G254">
        <v>0.249</v>
      </c>
      <c r="H254">
        <v>24</v>
      </c>
      <c r="I254">
        <v>0</v>
      </c>
    </row>
    <row r="255" spans="1:9" x14ac:dyDescent="0.3">
      <c r="A255">
        <v>0</v>
      </c>
      <c r="B255">
        <v>86</v>
      </c>
      <c r="C255">
        <v>68</v>
      </c>
      <c r="D255">
        <v>32</v>
      </c>
      <c r="E255">
        <v>0</v>
      </c>
      <c r="F255">
        <v>35.799999999999997</v>
      </c>
      <c r="G255">
        <v>0.23799999999999999</v>
      </c>
      <c r="H255">
        <v>25</v>
      </c>
      <c r="I255">
        <v>0</v>
      </c>
    </row>
    <row r="256" spans="1:9" x14ac:dyDescent="0.3">
      <c r="A256">
        <v>12</v>
      </c>
      <c r="B256">
        <v>92</v>
      </c>
      <c r="C256">
        <v>62</v>
      </c>
      <c r="D256">
        <v>7</v>
      </c>
      <c r="E256">
        <v>258</v>
      </c>
      <c r="F256">
        <v>27.6</v>
      </c>
      <c r="G256">
        <v>0.92600000000000005</v>
      </c>
      <c r="H256">
        <v>44</v>
      </c>
      <c r="I256">
        <v>1</v>
      </c>
    </row>
    <row r="257" spans="1:9" x14ac:dyDescent="0.3">
      <c r="A257">
        <v>1</v>
      </c>
      <c r="B257">
        <v>113</v>
      </c>
      <c r="C257">
        <v>64</v>
      </c>
      <c r="D257">
        <v>35</v>
      </c>
      <c r="E257">
        <v>0</v>
      </c>
      <c r="F257">
        <v>33.6</v>
      </c>
      <c r="G257">
        <v>0.54300000000000004</v>
      </c>
      <c r="H257">
        <v>21</v>
      </c>
      <c r="I257">
        <v>1</v>
      </c>
    </row>
    <row r="258" spans="1:9" x14ac:dyDescent="0.3">
      <c r="A258">
        <v>3</v>
      </c>
      <c r="B258">
        <v>111</v>
      </c>
      <c r="C258">
        <v>56</v>
      </c>
      <c r="D258">
        <v>39</v>
      </c>
      <c r="E258">
        <v>0</v>
      </c>
      <c r="F258">
        <v>30.1</v>
      </c>
      <c r="G258">
        <v>0.55700000000000005</v>
      </c>
      <c r="H258">
        <v>30</v>
      </c>
      <c r="I258">
        <v>0</v>
      </c>
    </row>
    <row r="259" spans="1:9" x14ac:dyDescent="0.3">
      <c r="A259">
        <v>2</v>
      </c>
      <c r="B259">
        <v>114</v>
      </c>
      <c r="C259">
        <v>68</v>
      </c>
      <c r="D259">
        <v>22</v>
      </c>
      <c r="E259">
        <v>0</v>
      </c>
      <c r="F259">
        <v>28.7</v>
      </c>
      <c r="G259">
        <v>9.1999999999999998E-2</v>
      </c>
      <c r="H259">
        <v>25</v>
      </c>
      <c r="I259">
        <v>0</v>
      </c>
    </row>
    <row r="260" spans="1:9" x14ac:dyDescent="0.3">
      <c r="A260">
        <v>1</v>
      </c>
      <c r="B260">
        <v>193</v>
      </c>
      <c r="C260">
        <v>50</v>
      </c>
      <c r="D260">
        <v>16</v>
      </c>
      <c r="E260">
        <v>375</v>
      </c>
      <c r="F260">
        <v>25.9</v>
      </c>
      <c r="G260">
        <v>0.65500000000000003</v>
      </c>
      <c r="H260">
        <v>24</v>
      </c>
      <c r="I260">
        <v>0</v>
      </c>
    </row>
    <row r="261" spans="1:9" x14ac:dyDescent="0.3">
      <c r="A261">
        <v>11</v>
      </c>
      <c r="B261">
        <v>155</v>
      </c>
      <c r="C261">
        <v>76</v>
      </c>
      <c r="D261">
        <v>28</v>
      </c>
      <c r="E261">
        <v>150</v>
      </c>
      <c r="F261">
        <v>33.299999999999997</v>
      </c>
      <c r="G261">
        <v>1.353</v>
      </c>
      <c r="H261">
        <v>51</v>
      </c>
      <c r="I261">
        <v>1</v>
      </c>
    </row>
    <row r="262" spans="1:9" x14ac:dyDescent="0.3">
      <c r="A262">
        <v>3</v>
      </c>
      <c r="B262">
        <v>191</v>
      </c>
      <c r="C262">
        <v>68</v>
      </c>
      <c r="D262">
        <v>15</v>
      </c>
      <c r="E262">
        <v>130</v>
      </c>
      <c r="F262">
        <v>30.9</v>
      </c>
      <c r="G262">
        <v>0.29899999999999999</v>
      </c>
      <c r="H262">
        <v>34</v>
      </c>
      <c r="I262">
        <v>0</v>
      </c>
    </row>
    <row r="263" spans="1:9" x14ac:dyDescent="0.3">
      <c r="A263">
        <v>3</v>
      </c>
      <c r="B263">
        <v>141</v>
      </c>
      <c r="C263">
        <v>0</v>
      </c>
      <c r="D263">
        <v>0</v>
      </c>
      <c r="E263">
        <v>0</v>
      </c>
      <c r="F263">
        <v>30</v>
      </c>
      <c r="G263">
        <v>0.76100000000000001</v>
      </c>
      <c r="H263">
        <v>27</v>
      </c>
      <c r="I263">
        <v>1</v>
      </c>
    </row>
    <row r="264" spans="1:9" x14ac:dyDescent="0.3">
      <c r="A264">
        <v>4</v>
      </c>
      <c r="B264">
        <v>95</v>
      </c>
      <c r="C264">
        <v>70</v>
      </c>
      <c r="D264">
        <v>32</v>
      </c>
      <c r="E264">
        <v>0</v>
      </c>
      <c r="F264">
        <v>32.1</v>
      </c>
      <c r="G264">
        <v>0.61199999999999999</v>
      </c>
      <c r="H264">
        <v>24</v>
      </c>
      <c r="I264">
        <v>0</v>
      </c>
    </row>
    <row r="265" spans="1:9" x14ac:dyDescent="0.3">
      <c r="A265">
        <v>3</v>
      </c>
      <c r="B265">
        <v>142</v>
      </c>
      <c r="C265">
        <v>80</v>
      </c>
      <c r="D265">
        <v>15</v>
      </c>
      <c r="E265">
        <v>0</v>
      </c>
      <c r="F265">
        <v>32.4</v>
      </c>
      <c r="G265">
        <v>0.2</v>
      </c>
      <c r="H265">
        <v>63</v>
      </c>
      <c r="I265">
        <v>0</v>
      </c>
    </row>
    <row r="266" spans="1:9" x14ac:dyDescent="0.3">
      <c r="A266">
        <v>4</v>
      </c>
      <c r="B266">
        <v>123</v>
      </c>
      <c r="C266">
        <v>62</v>
      </c>
      <c r="D266">
        <v>0</v>
      </c>
      <c r="E266">
        <v>0</v>
      </c>
      <c r="F266">
        <v>32</v>
      </c>
      <c r="G266">
        <v>0.22600000000000001</v>
      </c>
      <c r="H266">
        <v>35</v>
      </c>
      <c r="I266">
        <v>1</v>
      </c>
    </row>
    <row r="267" spans="1:9" x14ac:dyDescent="0.3">
      <c r="A267">
        <v>5</v>
      </c>
      <c r="B267">
        <v>96</v>
      </c>
      <c r="C267">
        <v>74</v>
      </c>
      <c r="D267">
        <v>18</v>
      </c>
      <c r="E267">
        <v>67</v>
      </c>
      <c r="F267">
        <v>33.6</v>
      </c>
      <c r="G267">
        <v>0.997</v>
      </c>
      <c r="H267">
        <v>43</v>
      </c>
      <c r="I267">
        <v>0</v>
      </c>
    </row>
    <row r="268" spans="1:9" x14ac:dyDescent="0.3">
      <c r="A268">
        <v>0</v>
      </c>
      <c r="B268">
        <v>138</v>
      </c>
      <c r="C268">
        <v>0</v>
      </c>
      <c r="D268">
        <v>0</v>
      </c>
      <c r="E268">
        <v>0</v>
      </c>
      <c r="F268">
        <v>36.299999999999997</v>
      </c>
      <c r="G268">
        <v>0.93300000000000005</v>
      </c>
      <c r="H268">
        <v>25</v>
      </c>
      <c r="I268">
        <v>1</v>
      </c>
    </row>
    <row r="269" spans="1:9" x14ac:dyDescent="0.3">
      <c r="A269">
        <v>2</v>
      </c>
      <c r="B269">
        <v>128</v>
      </c>
      <c r="C269">
        <v>64</v>
      </c>
      <c r="D269">
        <v>42</v>
      </c>
      <c r="E269">
        <v>0</v>
      </c>
      <c r="F269">
        <v>40</v>
      </c>
      <c r="G269">
        <v>1.101</v>
      </c>
      <c r="H269">
        <v>24</v>
      </c>
      <c r="I269">
        <v>0</v>
      </c>
    </row>
    <row r="270" spans="1:9" x14ac:dyDescent="0.3">
      <c r="A270">
        <v>0</v>
      </c>
      <c r="B270">
        <v>102</v>
      </c>
      <c r="C270">
        <v>52</v>
      </c>
      <c r="D270">
        <v>0</v>
      </c>
      <c r="E270">
        <v>0</v>
      </c>
      <c r="F270">
        <v>25.1</v>
      </c>
      <c r="G270">
        <v>7.8E-2</v>
      </c>
      <c r="H270">
        <v>21</v>
      </c>
      <c r="I270">
        <v>0</v>
      </c>
    </row>
    <row r="271" spans="1:9" x14ac:dyDescent="0.3">
      <c r="A271">
        <v>2</v>
      </c>
      <c r="B271">
        <v>146</v>
      </c>
      <c r="C271">
        <v>0</v>
      </c>
      <c r="D271">
        <v>0</v>
      </c>
      <c r="E271">
        <v>0</v>
      </c>
      <c r="F271">
        <v>27.5</v>
      </c>
      <c r="G271">
        <v>0.24</v>
      </c>
      <c r="H271">
        <v>28</v>
      </c>
      <c r="I271">
        <v>1</v>
      </c>
    </row>
    <row r="272" spans="1:9" x14ac:dyDescent="0.3">
      <c r="A272">
        <v>10</v>
      </c>
      <c r="B272">
        <v>101</v>
      </c>
      <c r="C272">
        <v>86</v>
      </c>
      <c r="D272">
        <v>37</v>
      </c>
      <c r="E272">
        <v>0</v>
      </c>
      <c r="F272">
        <v>45.6</v>
      </c>
      <c r="G272">
        <v>1.1359999999999999</v>
      </c>
      <c r="H272">
        <v>38</v>
      </c>
      <c r="I272">
        <v>1</v>
      </c>
    </row>
    <row r="273" spans="1:9" x14ac:dyDescent="0.3">
      <c r="A273">
        <v>2</v>
      </c>
      <c r="B273">
        <v>108</v>
      </c>
      <c r="C273">
        <v>62</v>
      </c>
      <c r="D273">
        <v>32</v>
      </c>
      <c r="E273">
        <v>56</v>
      </c>
      <c r="F273">
        <v>25.2</v>
      </c>
      <c r="G273">
        <v>0.128</v>
      </c>
      <c r="H273">
        <v>21</v>
      </c>
      <c r="I273">
        <v>0</v>
      </c>
    </row>
    <row r="274" spans="1:9" x14ac:dyDescent="0.3">
      <c r="A274">
        <v>3</v>
      </c>
      <c r="B274">
        <v>122</v>
      </c>
      <c r="C274">
        <v>78</v>
      </c>
      <c r="D274">
        <v>0</v>
      </c>
      <c r="E274">
        <v>0</v>
      </c>
      <c r="F274">
        <v>23</v>
      </c>
      <c r="G274">
        <v>0.254</v>
      </c>
      <c r="H274">
        <v>40</v>
      </c>
      <c r="I274">
        <v>0</v>
      </c>
    </row>
    <row r="275" spans="1:9" x14ac:dyDescent="0.3">
      <c r="A275">
        <v>1</v>
      </c>
      <c r="B275">
        <v>71</v>
      </c>
      <c r="C275">
        <v>78</v>
      </c>
      <c r="D275">
        <v>50</v>
      </c>
      <c r="E275">
        <v>45</v>
      </c>
      <c r="F275">
        <v>33.200000000000003</v>
      </c>
      <c r="G275">
        <v>0.42199999999999999</v>
      </c>
      <c r="H275">
        <v>21</v>
      </c>
      <c r="I275">
        <v>0</v>
      </c>
    </row>
    <row r="276" spans="1:9" x14ac:dyDescent="0.3">
      <c r="A276">
        <v>13</v>
      </c>
      <c r="B276">
        <v>106</v>
      </c>
      <c r="C276">
        <v>70</v>
      </c>
      <c r="D276">
        <v>0</v>
      </c>
      <c r="E276">
        <v>0</v>
      </c>
      <c r="F276">
        <v>34.200000000000003</v>
      </c>
      <c r="G276">
        <v>0.251</v>
      </c>
      <c r="H276">
        <v>52</v>
      </c>
      <c r="I276">
        <v>0</v>
      </c>
    </row>
    <row r="277" spans="1:9" x14ac:dyDescent="0.3">
      <c r="A277">
        <v>2</v>
      </c>
      <c r="B277">
        <v>100</v>
      </c>
      <c r="C277">
        <v>70</v>
      </c>
      <c r="D277">
        <v>52</v>
      </c>
      <c r="E277">
        <v>57</v>
      </c>
      <c r="F277">
        <v>40.5</v>
      </c>
      <c r="G277">
        <v>0.67700000000000005</v>
      </c>
      <c r="H277">
        <v>25</v>
      </c>
      <c r="I277">
        <v>0</v>
      </c>
    </row>
    <row r="278" spans="1:9" x14ac:dyDescent="0.3">
      <c r="A278">
        <v>7</v>
      </c>
      <c r="B278">
        <v>106</v>
      </c>
      <c r="C278">
        <v>60</v>
      </c>
      <c r="D278">
        <v>24</v>
      </c>
      <c r="E278">
        <v>0</v>
      </c>
      <c r="F278">
        <v>26.5</v>
      </c>
      <c r="G278">
        <v>0.29599999999999999</v>
      </c>
      <c r="H278">
        <v>29</v>
      </c>
      <c r="I278">
        <v>1</v>
      </c>
    </row>
    <row r="279" spans="1:9" x14ac:dyDescent="0.3">
      <c r="A279">
        <v>0</v>
      </c>
      <c r="B279">
        <v>104</v>
      </c>
      <c r="C279">
        <v>64</v>
      </c>
      <c r="D279">
        <v>23</v>
      </c>
      <c r="E279">
        <v>116</v>
      </c>
      <c r="F279">
        <v>27.8</v>
      </c>
      <c r="G279">
        <v>0.45400000000000001</v>
      </c>
      <c r="H279">
        <v>23</v>
      </c>
      <c r="I279">
        <v>0</v>
      </c>
    </row>
    <row r="280" spans="1:9" x14ac:dyDescent="0.3">
      <c r="A280">
        <v>5</v>
      </c>
      <c r="B280">
        <v>114</v>
      </c>
      <c r="C280">
        <v>74</v>
      </c>
      <c r="D280">
        <v>0</v>
      </c>
      <c r="E280">
        <v>0</v>
      </c>
      <c r="F280">
        <v>24.9</v>
      </c>
      <c r="G280">
        <v>0.74399999999999999</v>
      </c>
      <c r="H280">
        <v>57</v>
      </c>
      <c r="I280">
        <v>0</v>
      </c>
    </row>
    <row r="281" spans="1:9" x14ac:dyDescent="0.3">
      <c r="A281">
        <v>2</v>
      </c>
      <c r="B281">
        <v>108</v>
      </c>
      <c r="C281">
        <v>62</v>
      </c>
      <c r="D281">
        <v>10</v>
      </c>
      <c r="E281">
        <v>278</v>
      </c>
      <c r="F281">
        <v>25.3</v>
      </c>
      <c r="G281">
        <v>0.88100000000000001</v>
      </c>
      <c r="H281">
        <v>22</v>
      </c>
      <c r="I281">
        <v>0</v>
      </c>
    </row>
    <row r="282" spans="1:9" x14ac:dyDescent="0.3">
      <c r="A282">
        <v>0</v>
      </c>
      <c r="B282">
        <v>146</v>
      </c>
      <c r="C282">
        <v>70</v>
      </c>
      <c r="D282">
        <v>0</v>
      </c>
      <c r="E282">
        <v>0</v>
      </c>
      <c r="F282">
        <v>37.9</v>
      </c>
      <c r="G282">
        <v>0.33400000000000002</v>
      </c>
      <c r="H282">
        <v>28</v>
      </c>
      <c r="I282">
        <v>1</v>
      </c>
    </row>
    <row r="283" spans="1:9" x14ac:dyDescent="0.3">
      <c r="A283">
        <v>10</v>
      </c>
      <c r="B283">
        <v>129</v>
      </c>
      <c r="C283">
        <v>76</v>
      </c>
      <c r="D283">
        <v>28</v>
      </c>
      <c r="E283">
        <v>122</v>
      </c>
      <c r="F283">
        <v>35.9</v>
      </c>
      <c r="G283">
        <v>0.28000000000000003</v>
      </c>
      <c r="H283">
        <v>39</v>
      </c>
      <c r="I283">
        <v>0</v>
      </c>
    </row>
    <row r="284" spans="1:9" x14ac:dyDescent="0.3">
      <c r="A284">
        <v>7</v>
      </c>
      <c r="B284">
        <v>133</v>
      </c>
      <c r="C284">
        <v>88</v>
      </c>
      <c r="D284">
        <v>15</v>
      </c>
      <c r="E284">
        <v>155</v>
      </c>
      <c r="F284">
        <v>32.4</v>
      </c>
      <c r="G284">
        <v>0.26200000000000001</v>
      </c>
      <c r="H284">
        <v>37</v>
      </c>
      <c r="I284">
        <v>0</v>
      </c>
    </row>
    <row r="285" spans="1:9" x14ac:dyDescent="0.3">
      <c r="A285">
        <v>7</v>
      </c>
      <c r="B285">
        <v>161</v>
      </c>
      <c r="C285">
        <v>86</v>
      </c>
      <c r="D285">
        <v>0</v>
      </c>
      <c r="E285">
        <v>0</v>
      </c>
      <c r="F285">
        <v>30.4</v>
      </c>
      <c r="G285">
        <v>0.16500000000000001</v>
      </c>
      <c r="H285">
        <v>47</v>
      </c>
      <c r="I285">
        <v>1</v>
      </c>
    </row>
    <row r="286" spans="1:9" x14ac:dyDescent="0.3">
      <c r="A286">
        <v>2</v>
      </c>
      <c r="B286">
        <v>108</v>
      </c>
      <c r="C286">
        <v>80</v>
      </c>
      <c r="D286">
        <v>0</v>
      </c>
      <c r="E286">
        <v>0</v>
      </c>
      <c r="F286">
        <v>27</v>
      </c>
      <c r="G286">
        <v>0.25900000000000001</v>
      </c>
      <c r="H286">
        <v>52</v>
      </c>
      <c r="I286">
        <v>1</v>
      </c>
    </row>
    <row r="287" spans="1:9" x14ac:dyDescent="0.3">
      <c r="A287">
        <v>7</v>
      </c>
      <c r="B287">
        <v>136</v>
      </c>
      <c r="C287">
        <v>74</v>
      </c>
      <c r="D287">
        <v>26</v>
      </c>
      <c r="E287">
        <v>135</v>
      </c>
      <c r="F287">
        <v>26</v>
      </c>
      <c r="G287">
        <v>0.64700000000000002</v>
      </c>
      <c r="H287">
        <v>51</v>
      </c>
      <c r="I287">
        <v>0</v>
      </c>
    </row>
    <row r="288" spans="1:9" x14ac:dyDescent="0.3">
      <c r="A288">
        <v>5</v>
      </c>
      <c r="B288">
        <v>155</v>
      </c>
      <c r="C288">
        <v>84</v>
      </c>
      <c r="D288">
        <v>44</v>
      </c>
      <c r="E288">
        <v>545</v>
      </c>
      <c r="F288">
        <v>38.700000000000003</v>
      </c>
      <c r="G288">
        <v>0.61899999999999999</v>
      </c>
      <c r="H288">
        <v>34</v>
      </c>
      <c r="I288">
        <v>0</v>
      </c>
    </row>
    <row r="289" spans="1:9" x14ac:dyDescent="0.3">
      <c r="A289">
        <v>1</v>
      </c>
      <c r="B289">
        <v>119</v>
      </c>
      <c r="C289">
        <v>86</v>
      </c>
      <c r="D289">
        <v>39</v>
      </c>
      <c r="E289">
        <v>220</v>
      </c>
      <c r="F289">
        <v>45.6</v>
      </c>
      <c r="G289">
        <v>0.80800000000000005</v>
      </c>
      <c r="H289">
        <v>29</v>
      </c>
      <c r="I289">
        <v>1</v>
      </c>
    </row>
    <row r="290" spans="1:9" x14ac:dyDescent="0.3">
      <c r="A290">
        <v>4</v>
      </c>
      <c r="B290">
        <v>96</v>
      </c>
      <c r="C290">
        <v>56</v>
      </c>
      <c r="D290">
        <v>17</v>
      </c>
      <c r="E290">
        <v>49</v>
      </c>
      <c r="F290">
        <v>20.8</v>
      </c>
      <c r="G290">
        <v>0.34</v>
      </c>
      <c r="H290">
        <v>26</v>
      </c>
      <c r="I290">
        <v>0</v>
      </c>
    </row>
    <row r="291" spans="1:9" x14ac:dyDescent="0.3">
      <c r="A291">
        <v>5</v>
      </c>
      <c r="B291">
        <v>108</v>
      </c>
      <c r="C291">
        <v>72</v>
      </c>
      <c r="D291">
        <v>43</v>
      </c>
      <c r="E291">
        <v>75</v>
      </c>
      <c r="F291">
        <v>36.1</v>
      </c>
      <c r="G291">
        <v>0.26300000000000001</v>
      </c>
      <c r="H291">
        <v>33</v>
      </c>
      <c r="I291">
        <v>0</v>
      </c>
    </row>
    <row r="292" spans="1:9" x14ac:dyDescent="0.3">
      <c r="A292">
        <v>0</v>
      </c>
      <c r="B292">
        <v>78</v>
      </c>
      <c r="C292">
        <v>88</v>
      </c>
      <c r="D292">
        <v>29</v>
      </c>
      <c r="E292">
        <v>40</v>
      </c>
      <c r="F292">
        <v>36.9</v>
      </c>
      <c r="G292">
        <v>0.434</v>
      </c>
      <c r="H292">
        <v>21</v>
      </c>
      <c r="I292">
        <v>0</v>
      </c>
    </row>
    <row r="293" spans="1:9" x14ac:dyDescent="0.3">
      <c r="A293">
        <v>0</v>
      </c>
      <c r="B293">
        <v>107</v>
      </c>
      <c r="C293">
        <v>62</v>
      </c>
      <c r="D293">
        <v>30</v>
      </c>
      <c r="E293">
        <v>74</v>
      </c>
      <c r="F293">
        <v>36.6</v>
      </c>
      <c r="G293">
        <v>0.75700000000000001</v>
      </c>
      <c r="H293">
        <v>25</v>
      </c>
      <c r="I293">
        <v>1</v>
      </c>
    </row>
    <row r="294" spans="1:9" x14ac:dyDescent="0.3">
      <c r="A294">
        <v>2</v>
      </c>
      <c r="B294">
        <v>128</v>
      </c>
      <c r="C294">
        <v>78</v>
      </c>
      <c r="D294">
        <v>37</v>
      </c>
      <c r="E294">
        <v>182</v>
      </c>
      <c r="F294">
        <v>43.3</v>
      </c>
      <c r="G294">
        <v>1.224</v>
      </c>
      <c r="H294">
        <v>31</v>
      </c>
      <c r="I294">
        <v>1</v>
      </c>
    </row>
    <row r="295" spans="1:9" x14ac:dyDescent="0.3">
      <c r="A295">
        <v>1</v>
      </c>
      <c r="B295">
        <v>128</v>
      </c>
      <c r="C295">
        <v>48</v>
      </c>
      <c r="D295">
        <v>45</v>
      </c>
      <c r="E295">
        <v>194</v>
      </c>
      <c r="F295">
        <v>40.5</v>
      </c>
      <c r="G295">
        <v>0.61299999999999999</v>
      </c>
      <c r="H295">
        <v>24</v>
      </c>
      <c r="I295">
        <v>1</v>
      </c>
    </row>
    <row r="296" spans="1:9" x14ac:dyDescent="0.3">
      <c r="A296">
        <v>0</v>
      </c>
      <c r="B296">
        <v>161</v>
      </c>
      <c r="C296">
        <v>50</v>
      </c>
      <c r="D296">
        <v>0</v>
      </c>
      <c r="E296">
        <v>0</v>
      </c>
      <c r="F296">
        <v>21.9</v>
      </c>
      <c r="G296">
        <v>0.254</v>
      </c>
      <c r="H296">
        <v>65</v>
      </c>
      <c r="I296">
        <v>0</v>
      </c>
    </row>
    <row r="297" spans="1:9" x14ac:dyDescent="0.3">
      <c r="A297">
        <v>6</v>
      </c>
      <c r="B297">
        <v>151</v>
      </c>
      <c r="C297">
        <v>62</v>
      </c>
      <c r="D297">
        <v>31</v>
      </c>
      <c r="E297">
        <v>120</v>
      </c>
      <c r="F297">
        <v>35.5</v>
      </c>
      <c r="G297">
        <v>0.69199999999999995</v>
      </c>
      <c r="H297">
        <v>28</v>
      </c>
      <c r="I297">
        <v>0</v>
      </c>
    </row>
    <row r="298" spans="1:9" x14ac:dyDescent="0.3">
      <c r="A298">
        <v>2</v>
      </c>
      <c r="B298">
        <v>146</v>
      </c>
      <c r="C298">
        <v>70</v>
      </c>
      <c r="D298">
        <v>38</v>
      </c>
      <c r="E298">
        <v>360</v>
      </c>
      <c r="F298">
        <v>28</v>
      </c>
      <c r="G298">
        <v>0.33700000000000002</v>
      </c>
      <c r="H298">
        <v>29</v>
      </c>
      <c r="I298">
        <v>1</v>
      </c>
    </row>
    <row r="299" spans="1:9" x14ac:dyDescent="0.3">
      <c r="A299">
        <v>0</v>
      </c>
      <c r="B299">
        <v>126</v>
      </c>
      <c r="C299">
        <v>84</v>
      </c>
      <c r="D299">
        <v>29</v>
      </c>
      <c r="E299">
        <v>215</v>
      </c>
      <c r="F299">
        <v>30.7</v>
      </c>
      <c r="G299">
        <v>0.52</v>
      </c>
      <c r="H299">
        <v>24</v>
      </c>
      <c r="I299">
        <v>0</v>
      </c>
    </row>
    <row r="300" spans="1:9" x14ac:dyDescent="0.3">
      <c r="A300">
        <v>14</v>
      </c>
      <c r="B300">
        <v>100</v>
      </c>
      <c r="C300">
        <v>78</v>
      </c>
      <c r="D300">
        <v>25</v>
      </c>
      <c r="E300">
        <v>184</v>
      </c>
      <c r="F300">
        <v>36.6</v>
      </c>
      <c r="G300">
        <v>0.41199999999999998</v>
      </c>
      <c r="H300">
        <v>46</v>
      </c>
      <c r="I300">
        <v>1</v>
      </c>
    </row>
    <row r="301" spans="1:9" x14ac:dyDescent="0.3">
      <c r="A301">
        <v>8</v>
      </c>
      <c r="B301">
        <v>112</v>
      </c>
      <c r="C301">
        <v>72</v>
      </c>
      <c r="D301">
        <v>0</v>
      </c>
      <c r="E301">
        <v>0</v>
      </c>
      <c r="F301">
        <v>23.6</v>
      </c>
      <c r="G301">
        <v>0.84</v>
      </c>
      <c r="H301">
        <v>58</v>
      </c>
      <c r="I301">
        <v>0</v>
      </c>
    </row>
    <row r="302" spans="1:9" x14ac:dyDescent="0.3">
      <c r="A302">
        <v>0</v>
      </c>
      <c r="B302">
        <v>167</v>
      </c>
      <c r="C302">
        <v>0</v>
      </c>
      <c r="D302">
        <v>0</v>
      </c>
      <c r="E302">
        <v>0</v>
      </c>
      <c r="F302">
        <v>32.299999999999997</v>
      </c>
      <c r="G302">
        <v>0.83899999999999997</v>
      </c>
      <c r="H302">
        <v>30</v>
      </c>
      <c r="I302">
        <v>1</v>
      </c>
    </row>
    <row r="303" spans="1:9" x14ac:dyDescent="0.3">
      <c r="A303">
        <v>2</v>
      </c>
      <c r="B303">
        <v>144</v>
      </c>
      <c r="C303">
        <v>58</v>
      </c>
      <c r="D303">
        <v>33</v>
      </c>
      <c r="E303">
        <v>135</v>
      </c>
      <c r="F303">
        <v>31.6</v>
      </c>
      <c r="G303">
        <v>0.42199999999999999</v>
      </c>
      <c r="H303">
        <v>25</v>
      </c>
      <c r="I303">
        <v>1</v>
      </c>
    </row>
    <row r="304" spans="1:9" x14ac:dyDescent="0.3">
      <c r="A304">
        <v>5</v>
      </c>
      <c r="B304">
        <v>77</v>
      </c>
      <c r="C304">
        <v>82</v>
      </c>
      <c r="D304">
        <v>41</v>
      </c>
      <c r="E304">
        <v>42</v>
      </c>
      <c r="F304">
        <v>35.799999999999997</v>
      </c>
      <c r="G304">
        <v>0.156</v>
      </c>
      <c r="H304">
        <v>35</v>
      </c>
      <c r="I304">
        <v>0</v>
      </c>
    </row>
    <row r="305" spans="1:9" x14ac:dyDescent="0.3">
      <c r="A305">
        <v>5</v>
      </c>
      <c r="B305">
        <v>115</v>
      </c>
      <c r="C305">
        <v>98</v>
      </c>
      <c r="D305">
        <v>0</v>
      </c>
      <c r="E305">
        <v>0</v>
      </c>
      <c r="F305">
        <v>52.9</v>
      </c>
      <c r="G305">
        <v>0.20899999999999999</v>
      </c>
      <c r="H305">
        <v>28</v>
      </c>
      <c r="I305">
        <v>1</v>
      </c>
    </row>
    <row r="306" spans="1:9" x14ac:dyDescent="0.3">
      <c r="A306">
        <v>3</v>
      </c>
      <c r="B306">
        <v>150</v>
      </c>
      <c r="C306">
        <v>76</v>
      </c>
      <c r="D306">
        <v>0</v>
      </c>
      <c r="E306">
        <v>0</v>
      </c>
      <c r="F306">
        <v>21</v>
      </c>
      <c r="G306">
        <v>0.20699999999999999</v>
      </c>
      <c r="H306">
        <v>37</v>
      </c>
      <c r="I306">
        <v>0</v>
      </c>
    </row>
    <row r="307" spans="1:9" x14ac:dyDescent="0.3">
      <c r="A307">
        <v>2</v>
      </c>
      <c r="B307">
        <v>120</v>
      </c>
      <c r="C307">
        <v>76</v>
      </c>
      <c r="D307">
        <v>37</v>
      </c>
      <c r="E307">
        <v>105</v>
      </c>
      <c r="F307">
        <v>39.700000000000003</v>
      </c>
      <c r="G307">
        <v>0.215</v>
      </c>
      <c r="H307">
        <v>29</v>
      </c>
      <c r="I307">
        <v>0</v>
      </c>
    </row>
    <row r="308" spans="1:9" x14ac:dyDescent="0.3">
      <c r="A308">
        <v>10</v>
      </c>
      <c r="B308">
        <v>161</v>
      </c>
      <c r="C308">
        <v>68</v>
      </c>
      <c r="D308">
        <v>23</v>
      </c>
      <c r="E308">
        <v>132</v>
      </c>
      <c r="F308">
        <v>25.5</v>
      </c>
      <c r="G308">
        <v>0.32600000000000001</v>
      </c>
      <c r="H308">
        <v>47</v>
      </c>
      <c r="I308">
        <v>1</v>
      </c>
    </row>
    <row r="309" spans="1:9" x14ac:dyDescent="0.3">
      <c r="A309">
        <v>0</v>
      </c>
      <c r="B309">
        <v>137</v>
      </c>
      <c r="C309">
        <v>68</v>
      </c>
      <c r="D309">
        <v>14</v>
      </c>
      <c r="E309">
        <v>148</v>
      </c>
      <c r="F309">
        <v>24.8</v>
      </c>
      <c r="G309">
        <v>0.14299999999999999</v>
      </c>
      <c r="H309">
        <v>21</v>
      </c>
      <c r="I309">
        <v>0</v>
      </c>
    </row>
    <row r="310" spans="1:9" x14ac:dyDescent="0.3">
      <c r="A310">
        <v>0</v>
      </c>
      <c r="B310">
        <v>128</v>
      </c>
      <c r="C310">
        <v>68</v>
      </c>
      <c r="D310">
        <v>19</v>
      </c>
      <c r="E310">
        <v>180</v>
      </c>
      <c r="F310">
        <v>30.5</v>
      </c>
      <c r="G310">
        <v>1.391</v>
      </c>
      <c r="H310">
        <v>25</v>
      </c>
      <c r="I310">
        <v>1</v>
      </c>
    </row>
    <row r="311" spans="1:9" x14ac:dyDescent="0.3">
      <c r="A311">
        <v>2</v>
      </c>
      <c r="B311">
        <v>124</v>
      </c>
      <c r="C311">
        <v>68</v>
      </c>
      <c r="D311">
        <v>28</v>
      </c>
      <c r="E311">
        <v>205</v>
      </c>
      <c r="F311">
        <v>32.9</v>
      </c>
      <c r="G311">
        <v>0.875</v>
      </c>
      <c r="H311">
        <v>30</v>
      </c>
      <c r="I311">
        <v>1</v>
      </c>
    </row>
    <row r="312" spans="1:9" x14ac:dyDescent="0.3">
      <c r="A312">
        <v>6</v>
      </c>
      <c r="B312">
        <v>80</v>
      </c>
      <c r="C312">
        <v>66</v>
      </c>
      <c r="D312">
        <v>30</v>
      </c>
      <c r="E312">
        <v>0</v>
      </c>
      <c r="F312">
        <v>26.2</v>
      </c>
      <c r="G312">
        <v>0.313</v>
      </c>
      <c r="H312">
        <v>41</v>
      </c>
      <c r="I312">
        <v>0</v>
      </c>
    </row>
    <row r="313" spans="1:9" x14ac:dyDescent="0.3">
      <c r="A313">
        <v>0</v>
      </c>
      <c r="B313">
        <v>106</v>
      </c>
      <c r="C313">
        <v>70</v>
      </c>
      <c r="D313">
        <v>37</v>
      </c>
      <c r="E313">
        <v>148</v>
      </c>
      <c r="F313">
        <v>39.4</v>
      </c>
      <c r="G313">
        <v>0.60499999999999998</v>
      </c>
      <c r="H313">
        <v>22</v>
      </c>
      <c r="I313">
        <v>0</v>
      </c>
    </row>
    <row r="314" spans="1:9" x14ac:dyDescent="0.3">
      <c r="A314">
        <v>2</v>
      </c>
      <c r="B314">
        <v>155</v>
      </c>
      <c r="C314">
        <v>74</v>
      </c>
      <c r="D314">
        <v>17</v>
      </c>
      <c r="E314">
        <v>96</v>
      </c>
      <c r="F314">
        <v>26.6</v>
      </c>
      <c r="G314">
        <v>0.433</v>
      </c>
      <c r="H314">
        <v>27</v>
      </c>
      <c r="I314">
        <v>1</v>
      </c>
    </row>
    <row r="315" spans="1:9" x14ac:dyDescent="0.3">
      <c r="A315">
        <v>3</v>
      </c>
      <c r="B315">
        <v>113</v>
      </c>
      <c r="C315">
        <v>50</v>
      </c>
      <c r="D315">
        <v>10</v>
      </c>
      <c r="E315">
        <v>85</v>
      </c>
      <c r="F315">
        <v>29.5</v>
      </c>
      <c r="G315">
        <v>0.626</v>
      </c>
      <c r="H315">
        <v>25</v>
      </c>
      <c r="I315">
        <v>0</v>
      </c>
    </row>
    <row r="316" spans="1:9" x14ac:dyDescent="0.3">
      <c r="A316">
        <v>7</v>
      </c>
      <c r="B316">
        <v>109</v>
      </c>
      <c r="C316">
        <v>80</v>
      </c>
      <c r="D316">
        <v>31</v>
      </c>
      <c r="E316">
        <v>0</v>
      </c>
      <c r="F316">
        <v>35.9</v>
      </c>
      <c r="G316">
        <v>1.127</v>
      </c>
      <c r="H316">
        <v>43</v>
      </c>
      <c r="I316">
        <v>1</v>
      </c>
    </row>
    <row r="317" spans="1:9" x14ac:dyDescent="0.3">
      <c r="A317">
        <v>2</v>
      </c>
      <c r="B317">
        <v>112</v>
      </c>
      <c r="C317">
        <v>68</v>
      </c>
      <c r="D317">
        <v>22</v>
      </c>
      <c r="E317">
        <v>94</v>
      </c>
      <c r="F317">
        <v>34.1</v>
      </c>
      <c r="G317">
        <v>0.315</v>
      </c>
      <c r="H317">
        <v>26</v>
      </c>
      <c r="I317">
        <v>0</v>
      </c>
    </row>
    <row r="318" spans="1:9" x14ac:dyDescent="0.3">
      <c r="A318">
        <v>3</v>
      </c>
      <c r="B318">
        <v>99</v>
      </c>
      <c r="C318">
        <v>80</v>
      </c>
      <c r="D318">
        <v>11</v>
      </c>
      <c r="E318">
        <v>64</v>
      </c>
      <c r="F318">
        <v>19.3</v>
      </c>
      <c r="G318">
        <v>0.28399999999999997</v>
      </c>
      <c r="H318">
        <v>30</v>
      </c>
      <c r="I318">
        <v>0</v>
      </c>
    </row>
    <row r="319" spans="1:9" x14ac:dyDescent="0.3">
      <c r="A319">
        <v>3</v>
      </c>
      <c r="B319">
        <v>182</v>
      </c>
      <c r="C319">
        <v>74</v>
      </c>
      <c r="D319">
        <v>0</v>
      </c>
      <c r="E319">
        <v>0</v>
      </c>
      <c r="F319">
        <v>30.5</v>
      </c>
      <c r="G319">
        <v>0.34499999999999997</v>
      </c>
      <c r="H319">
        <v>29</v>
      </c>
      <c r="I319">
        <v>1</v>
      </c>
    </row>
    <row r="320" spans="1:9" x14ac:dyDescent="0.3">
      <c r="A320">
        <v>3</v>
      </c>
      <c r="B320">
        <v>115</v>
      </c>
      <c r="C320">
        <v>66</v>
      </c>
      <c r="D320">
        <v>39</v>
      </c>
      <c r="E320">
        <v>140</v>
      </c>
      <c r="F320">
        <v>38.1</v>
      </c>
      <c r="G320">
        <v>0.15</v>
      </c>
      <c r="H320">
        <v>28</v>
      </c>
      <c r="I320">
        <v>0</v>
      </c>
    </row>
    <row r="321" spans="1:9" x14ac:dyDescent="0.3">
      <c r="A321">
        <v>6</v>
      </c>
      <c r="B321">
        <v>194</v>
      </c>
      <c r="C321">
        <v>78</v>
      </c>
      <c r="D321">
        <v>0</v>
      </c>
      <c r="E321">
        <v>0</v>
      </c>
      <c r="F321">
        <v>23.5</v>
      </c>
      <c r="G321">
        <v>0.129</v>
      </c>
      <c r="H321">
        <v>59</v>
      </c>
      <c r="I321">
        <v>1</v>
      </c>
    </row>
    <row r="322" spans="1:9" x14ac:dyDescent="0.3">
      <c r="A322">
        <v>4</v>
      </c>
      <c r="B322">
        <v>129</v>
      </c>
      <c r="C322">
        <v>60</v>
      </c>
      <c r="D322">
        <v>12</v>
      </c>
      <c r="E322">
        <v>231</v>
      </c>
      <c r="F322">
        <v>27.5</v>
      </c>
      <c r="G322">
        <v>0.52700000000000002</v>
      </c>
      <c r="H322">
        <v>31</v>
      </c>
      <c r="I322">
        <v>0</v>
      </c>
    </row>
    <row r="323" spans="1:9" x14ac:dyDescent="0.3">
      <c r="A323">
        <v>3</v>
      </c>
      <c r="B323">
        <v>112</v>
      </c>
      <c r="C323">
        <v>74</v>
      </c>
      <c r="D323">
        <v>30</v>
      </c>
      <c r="E323">
        <v>0</v>
      </c>
      <c r="F323">
        <v>31.6</v>
      </c>
      <c r="G323">
        <v>0.19700000000000001</v>
      </c>
      <c r="H323">
        <v>25</v>
      </c>
      <c r="I323">
        <v>1</v>
      </c>
    </row>
    <row r="324" spans="1:9" x14ac:dyDescent="0.3">
      <c r="A324">
        <v>0</v>
      </c>
      <c r="B324">
        <v>124</v>
      </c>
      <c r="C324">
        <v>70</v>
      </c>
      <c r="D324">
        <v>20</v>
      </c>
      <c r="E324">
        <v>0</v>
      </c>
      <c r="F324">
        <v>27.4</v>
      </c>
      <c r="G324">
        <v>0.254</v>
      </c>
      <c r="H324">
        <v>36</v>
      </c>
      <c r="I324">
        <v>1</v>
      </c>
    </row>
    <row r="325" spans="1:9" x14ac:dyDescent="0.3">
      <c r="A325">
        <v>13</v>
      </c>
      <c r="B325">
        <v>152</v>
      </c>
      <c r="C325">
        <v>90</v>
      </c>
      <c r="D325">
        <v>33</v>
      </c>
      <c r="E325">
        <v>29</v>
      </c>
      <c r="F325">
        <v>26.8</v>
      </c>
      <c r="G325">
        <v>0.73099999999999998</v>
      </c>
      <c r="H325">
        <v>43</v>
      </c>
      <c r="I325">
        <v>1</v>
      </c>
    </row>
    <row r="326" spans="1:9" x14ac:dyDescent="0.3">
      <c r="A326">
        <v>2</v>
      </c>
      <c r="B326">
        <v>112</v>
      </c>
      <c r="C326">
        <v>75</v>
      </c>
      <c r="D326">
        <v>32</v>
      </c>
      <c r="E326">
        <v>0</v>
      </c>
      <c r="F326">
        <v>35.700000000000003</v>
      </c>
      <c r="G326">
        <v>0.14799999999999999</v>
      </c>
      <c r="H326">
        <v>21</v>
      </c>
      <c r="I326">
        <v>0</v>
      </c>
    </row>
    <row r="327" spans="1:9" x14ac:dyDescent="0.3">
      <c r="A327">
        <v>1</v>
      </c>
      <c r="B327">
        <v>157</v>
      </c>
      <c r="C327">
        <v>72</v>
      </c>
      <c r="D327">
        <v>21</v>
      </c>
      <c r="E327">
        <v>168</v>
      </c>
      <c r="F327">
        <v>25.6</v>
      </c>
      <c r="G327">
        <v>0.123</v>
      </c>
      <c r="H327">
        <v>24</v>
      </c>
      <c r="I327">
        <v>0</v>
      </c>
    </row>
    <row r="328" spans="1:9" x14ac:dyDescent="0.3">
      <c r="A328">
        <v>1</v>
      </c>
      <c r="B328">
        <v>122</v>
      </c>
      <c r="C328">
        <v>64</v>
      </c>
      <c r="D328">
        <v>32</v>
      </c>
      <c r="E328">
        <v>156</v>
      </c>
      <c r="F328">
        <v>35.1</v>
      </c>
      <c r="G328">
        <v>0.69199999999999995</v>
      </c>
      <c r="H328">
        <v>30</v>
      </c>
      <c r="I328">
        <v>1</v>
      </c>
    </row>
    <row r="329" spans="1:9" x14ac:dyDescent="0.3">
      <c r="A329">
        <v>10</v>
      </c>
      <c r="B329">
        <v>179</v>
      </c>
      <c r="C329">
        <v>70</v>
      </c>
      <c r="D329">
        <v>0</v>
      </c>
      <c r="E329">
        <v>0</v>
      </c>
      <c r="F329">
        <v>35.1</v>
      </c>
      <c r="G329">
        <v>0.2</v>
      </c>
      <c r="H329">
        <v>37</v>
      </c>
      <c r="I329">
        <v>0</v>
      </c>
    </row>
    <row r="330" spans="1:9" x14ac:dyDescent="0.3">
      <c r="A330">
        <v>2</v>
      </c>
      <c r="B330">
        <v>102</v>
      </c>
      <c r="C330">
        <v>86</v>
      </c>
      <c r="D330">
        <v>36</v>
      </c>
      <c r="E330">
        <v>120</v>
      </c>
      <c r="F330">
        <v>45.5</v>
      </c>
      <c r="G330">
        <v>0.127</v>
      </c>
      <c r="H330">
        <v>23</v>
      </c>
      <c r="I330">
        <v>1</v>
      </c>
    </row>
    <row r="331" spans="1:9" x14ac:dyDescent="0.3">
      <c r="A331">
        <v>6</v>
      </c>
      <c r="B331">
        <v>105</v>
      </c>
      <c r="C331">
        <v>70</v>
      </c>
      <c r="D331">
        <v>32</v>
      </c>
      <c r="E331">
        <v>68</v>
      </c>
      <c r="F331">
        <v>30.8</v>
      </c>
      <c r="G331">
        <v>0.122</v>
      </c>
      <c r="H331">
        <v>37</v>
      </c>
      <c r="I331">
        <v>0</v>
      </c>
    </row>
    <row r="332" spans="1:9" x14ac:dyDescent="0.3">
      <c r="A332">
        <v>8</v>
      </c>
      <c r="B332">
        <v>118</v>
      </c>
      <c r="C332">
        <v>72</v>
      </c>
      <c r="D332">
        <v>19</v>
      </c>
      <c r="E332">
        <v>0</v>
      </c>
      <c r="F332">
        <v>23.1</v>
      </c>
      <c r="G332">
        <v>1.476</v>
      </c>
      <c r="H332">
        <v>46</v>
      </c>
      <c r="I332">
        <v>0</v>
      </c>
    </row>
    <row r="333" spans="1:9" x14ac:dyDescent="0.3">
      <c r="A333">
        <v>2</v>
      </c>
      <c r="B333">
        <v>87</v>
      </c>
      <c r="C333">
        <v>58</v>
      </c>
      <c r="D333">
        <v>16</v>
      </c>
      <c r="E333">
        <v>52</v>
      </c>
      <c r="F333">
        <v>32.700000000000003</v>
      </c>
      <c r="G333">
        <v>0.16600000000000001</v>
      </c>
      <c r="H333">
        <v>25</v>
      </c>
      <c r="I333">
        <v>0</v>
      </c>
    </row>
    <row r="334" spans="1:9" x14ac:dyDescent="0.3">
      <c r="A334">
        <v>1</v>
      </c>
      <c r="B334">
        <v>180</v>
      </c>
      <c r="C334">
        <v>0</v>
      </c>
      <c r="D334">
        <v>0</v>
      </c>
      <c r="E334">
        <v>0</v>
      </c>
      <c r="F334">
        <v>43.3</v>
      </c>
      <c r="G334">
        <v>0.28199999999999997</v>
      </c>
      <c r="H334">
        <v>41</v>
      </c>
      <c r="I334">
        <v>1</v>
      </c>
    </row>
    <row r="335" spans="1:9" x14ac:dyDescent="0.3">
      <c r="A335">
        <v>12</v>
      </c>
      <c r="B335">
        <v>106</v>
      </c>
      <c r="C335">
        <v>80</v>
      </c>
      <c r="D335">
        <v>0</v>
      </c>
      <c r="E335">
        <v>0</v>
      </c>
      <c r="F335">
        <v>23.6</v>
      </c>
      <c r="G335">
        <v>0.13700000000000001</v>
      </c>
      <c r="H335">
        <v>44</v>
      </c>
      <c r="I335">
        <v>0</v>
      </c>
    </row>
    <row r="336" spans="1:9" x14ac:dyDescent="0.3">
      <c r="A336">
        <v>1</v>
      </c>
      <c r="B336">
        <v>95</v>
      </c>
      <c r="C336">
        <v>60</v>
      </c>
      <c r="D336">
        <v>18</v>
      </c>
      <c r="E336">
        <v>58</v>
      </c>
      <c r="F336">
        <v>23.9</v>
      </c>
      <c r="G336">
        <v>0.26</v>
      </c>
      <c r="H336">
        <v>22</v>
      </c>
      <c r="I336">
        <v>0</v>
      </c>
    </row>
    <row r="337" spans="1:9" x14ac:dyDescent="0.3">
      <c r="A337">
        <v>0</v>
      </c>
      <c r="B337">
        <v>165</v>
      </c>
      <c r="C337">
        <v>76</v>
      </c>
      <c r="D337">
        <v>43</v>
      </c>
      <c r="E337">
        <v>255</v>
      </c>
      <c r="F337">
        <v>47.9</v>
      </c>
      <c r="G337">
        <v>0.25900000000000001</v>
      </c>
      <c r="H337">
        <v>26</v>
      </c>
      <c r="I337">
        <v>0</v>
      </c>
    </row>
    <row r="338" spans="1:9" x14ac:dyDescent="0.3">
      <c r="A338">
        <v>0</v>
      </c>
      <c r="B338">
        <v>117</v>
      </c>
      <c r="C338">
        <v>0</v>
      </c>
      <c r="D338">
        <v>0</v>
      </c>
      <c r="E338">
        <v>0</v>
      </c>
      <c r="F338">
        <v>33.799999999999997</v>
      </c>
      <c r="G338">
        <v>0.93200000000000005</v>
      </c>
      <c r="H338">
        <v>44</v>
      </c>
      <c r="I338">
        <v>0</v>
      </c>
    </row>
    <row r="339" spans="1:9" x14ac:dyDescent="0.3">
      <c r="A339">
        <v>5</v>
      </c>
      <c r="B339">
        <v>115</v>
      </c>
      <c r="C339">
        <v>76</v>
      </c>
      <c r="D339">
        <v>0</v>
      </c>
      <c r="E339">
        <v>0</v>
      </c>
      <c r="F339">
        <v>31.2</v>
      </c>
      <c r="G339">
        <v>0.34300000000000003</v>
      </c>
      <c r="H339">
        <v>44</v>
      </c>
      <c r="I339">
        <v>1</v>
      </c>
    </row>
    <row r="340" spans="1:9" x14ac:dyDescent="0.3">
      <c r="A340">
        <v>9</v>
      </c>
      <c r="B340">
        <v>152</v>
      </c>
      <c r="C340">
        <v>78</v>
      </c>
      <c r="D340">
        <v>34</v>
      </c>
      <c r="E340">
        <v>171</v>
      </c>
      <c r="F340">
        <v>34.200000000000003</v>
      </c>
      <c r="G340">
        <v>0.89300000000000002</v>
      </c>
      <c r="H340">
        <v>33</v>
      </c>
      <c r="I340">
        <v>1</v>
      </c>
    </row>
    <row r="341" spans="1:9" x14ac:dyDescent="0.3">
      <c r="A341">
        <v>7</v>
      </c>
      <c r="B341">
        <v>178</v>
      </c>
      <c r="C341">
        <v>84</v>
      </c>
      <c r="D341">
        <v>0</v>
      </c>
      <c r="E341">
        <v>0</v>
      </c>
      <c r="F341">
        <v>39.9</v>
      </c>
      <c r="G341">
        <v>0.33100000000000002</v>
      </c>
      <c r="H341">
        <v>41</v>
      </c>
      <c r="I341">
        <v>1</v>
      </c>
    </row>
    <row r="342" spans="1:9" x14ac:dyDescent="0.3">
      <c r="A342">
        <v>1</v>
      </c>
      <c r="B342">
        <v>130</v>
      </c>
      <c r="C342">
        <v>70</v>
      </c>
      <c r="D342">
        <v>13</v>
      </c>
      <c r="E342">
        <v>105</v>
      </c>
      <c r="F342">
        <v>25.9</v>
      </c>
      <c r="G342">
        <v>0.47199999999999998</v>
      </c>
      <c r="H342">
        <v>22</v>
      </c>
      <c r="I342">
        <v>0</v>
      </c>
    </row>
    <row r="343" spans="1:9" x14ac:dyDescent="0.3">
      <c r="A343">
        <v>1</v>
      </c>
      <c r="B343">
        <v>95</v>
      </c>
      <c r="C343">
        <v>74</v>
      </c>
      <c r="D343">
        <v>21</v>
      </c>
      <c r="E343">
        <v>73</v>
      </c>
      <c r="F343">
        <v>25.9</v>
      </c>
      <c r="G343">
        <v>0.67300000000000004</v>
      </c>
      <c r="H343">
        <v>36</v>
      </c>
      <c r="I343">
        <v>0</v>
      </c>
    </row>
    <row r="344" spans="1:9" x14ac:dyDescent="0.3">
      <c r="A344">
        <v>1</v>
      </c>
      <c r="B344">
        <v>0</v>
      </c>
      <c r="C344">
        <v>68</v>
      </c>
      <c r="D344">
        <v>35</v>
      </c>
      <c r="E344">
        <v>0</v>
      </c>
      <c r="F344">
        <v>32</v>
      </c>
      <c r="G344">
        <v>0.38900000000000001</v>
      </c>
      <c r="H344">
        <v>22</v>
      </c>
      <c r="I344">
        <v>0</v>
      </c>
    </row>
    <row r="345" spans="1:9" x14ac:dyDescent="0.3">
      <c r="A345">
        <v>5</v>
      </c>
      <c r="B345">
        <v>122</v>
      </c>
      <c r="C345">
        <v>86</v>
      </c>
      <c r="D345">
        <v>0</v>
      </c>
      <c r="E345">
        <v>0</v>
      </c>
      <c r="F345">
        <v>34.700000000000003</v>
      </c>
      <c r="G345">
        <v>0.28999999999999998</v>
      </c>
      <c r="H345">
        <v>33</v>
      </c>
      <c r="I345">
        <v>0</v>
      </c>
    </row>
    <row r="346" spans="1:9" x14ac:dyDescent="0.3">
      <c r="A346">
        <v>8</v>
      </c>
      <c r="B346">
        <v>95</v>
      </c>
      <c r="C346">
        <v>72</v>
      </c>
      <c r="D346">
        <v>0</v>
      </c>
      <c r="E346">
        <v>0</v>
      </c>
      <c r="F346">
        <v>36.799999999999997</v>
      </c>
      <c r="G346">
        <v>0.48499999999999999</v>
      </c>
      <c r="H346">
        <v>57</v>
      </c>
      <c r="I346">
        <v>0</v>
      </c>
    </row>
    <row r="347" spans="1:9" x14ac:dyDescent="0.3">
      <c r="A347">
        <v>8</v>
      </c>
      <c r="B347">
        <v>126</v>
      </c>
      <c r="C347">
        <v>88</v>
      </c>
      <c r="D347">
        <v>36</v>
      </c>
      <c r="E347">
        <v>108</v>
      </c>
      <c r="F347">
        <v>38.5</v>
      </c>
      <c r="G347">
        <v>0.34899999999999998</v>
      </c>
      <c r="H347">
        <v>49</v>
      </c>
      <c r="I347">
        <v>0</v>
      </c>
    </row>
    <row r="348" spans="1:9" x14ac:dyDescent="0.3">
      <c r="A348">
        <v>1</v>
      </c>
      <c r="B348">
        <v>139</v>
      </c>
      <c r="C348">
        <v>46</v>
      </c>
      <c r="D348">
        <v>19</v>
      </c>
      <c r="E348">
        <v>83</v>
      </c>
      <c r="F348">
        <v>28.7</v>
      </c>
      <c r="G348">
        <v>0.65400000000000003</v>
      </c>
      <c r="H348">
        <v>22</v>
      </c>
      <c r="I348">
        <v>0</v>
      </c>
    </row>
    <row r="349" spans="1:9" x14ac:dyDescent="0.3">
      <c r="A349">
        <v>3</v>
      </c>
      <c r="B349">
        <v>116</v>
      </c>
      <c r="C349">
        <v>0</v>
      </c>
      <c r="D349">
        <v>0</v>
      </c>
      <c r="E349">
        <v>0</v>
      </c>
      <c r="F349">
        <v>23.5</v>
      </c>
      <c r="G349">
        <v>0.187</v>
      </c>
      <c r="H349">
        <v>23</v>
      </c>
      <c r="I349">
        <v>0</v>
      </c>
    </row>
    <row r="350" spans="1:9" x14ac:dyDescent="0.3">
      <c r="A350">
        <v>3</v>
      </c>
      <c r="B350">
        <v>99</v>
      </c>
      <c r="C350">
        <v>62</v>
      </c>
      <c r="D350">
        <v>19</v>
      </c>
      <c r="E350">
        <v>74</v>
      </c>
      <c r="F350">
        <v>21.8</v>
      </c>
      <c r="G350">
        <v>0.27900000000000003</v>
      </c>
      <c r="H350">
        <v>26</v>
      </c>
      <c r="I350">
        <v>0</v>
      </c>
    </row>
    <row r="351" spans="1:9" x14ac:dyDescent="0.3">
      <c r="A351">
        <v>5</v>
      </c>
      <c r="B351">
        <v>0</v>
      </c>
      <c r="C351">
        <v>80</v>
      </c>
      <c r="D351">
        <v>32</v>
      </c>
      <c r="E351">
        <v>0</v>
      </c>
      <c r="F351">
        <v>41</v>
      </c>
      <c r="G351">
        <v>0.34599999999999997</v>
      </c>
      <c r="H351">
        <v>37</v>
      </c>
      <c r="I351">
        <v>1</v>
      </c>
    </row>
    <row r="352" spans="1:9" x14ac:dyDescent="0.3">
      <c r="A352">
        <v>4</v>
      </c>
      <c r="B352">
        <v>92</v>
      </c>
      <c r="C352">
        <v>80</v>
      </c>
      <c r="D352">
        <v>0</v>
      </c>
      <c r="E352">
        <v>0</v>
      </c>
      <c r="F352">
        <v>42.2</v>
      </c>
      <c r="G352">
        <v>0.23699999999999999</v>
      </c>
      <c r="H352">
        <v>29</v>
      </c>
      <c r="I352">
        <v>0</v>
      </c>
    </row>
    <row r="353" spans="1:9" x14ac:dyDescent="0.3">
      <c r="A353">
        <v>4</v>
      </c>
      <c r="B353">
        <v>137</v>
      </c>
      <c r="C353">
        <v>84</v>
      </c>
      <c r="D353">
        <v>0</v>
      </c>
      <c r="E353">
        <v>0</v>
      </c>
      <c r="F353">
        <v>31.2</v>
      </c>
      <c r="G353">
        <v>0.252</v>
      </c>
      <c r="H353">
        <v>30</v>
      </c>
      <c r="I353">
        <v>0</v>
      </c>
    </row>
    <row r="354" spans="1:9" x14ac:dyDescent="0.3">
      <c r="A354">
        <v>3</v>
      </c>
      <c r="B354">
        <v>61</v>
      </c>
      <c r="C354">
        <v>82</v>
      </c>
      <c r="D354">
        <v>28</v>
      </c>
      <c r="E354">
        <v>0</v>
      </c>
      <c r="F354">
        <v>34.4</v>
      </c>
      <c r="G354">
        <v>0.24299999999999999</v>
      </c>
      <c r="H354">
        <v>46</v>
      </c>
      <c r="I354">
        <v>0</v>
      </c>
    </row>
    <row r="355" spans="1:9" x14ac:dyDescent="0.3">
      <c r="A355">
        <v>1</v>
      </c>
      <c r="B355">
        <v>90</v>
      </c>
      <c r="C355">
        <v>62</v>
      </c>
      <c r="D355">
        <v>12</v>
      </c>
      <c r="E355">
        <v>43</v>
      </c>
      <c r="F355">
        <v>27.2</v>
      </c>
      <c r="G355">
        <v>0.57999999999999996</v>
      </c>
      <c r="H355">
        <v>24</v>
      </c>
      <c r="I355">
        <v>0</v>
      </c>
    </row>
    <row r="356" spans="1:9" x14ac:dyDescent="0.3">
      <c r="A356">
        <v>3</v>
      </c>
      <c r="B356">
        <v>90</v>
      </c>
      <c r="C356">
        <v>78</v>
      </c>
      <c r="D356">
        <v>0</v>
      </c>
      <c r="E356">
        <v>0</v>
      </c>
      <c r="F356">
        <v>42.7</v>
      </c>
      <c r="G356">
        <v>0.55900000000000005</v>
      </c>
      <c r="H356">
        <v>21</v>
      </c>
      <c r="I356">
        <v>0</v>
      </c>
    </row>
    <row r="357" spans="1:9" x14ac:dyDescent="0.3">
      <c r="A357">
        <v>9</v>
      </c>
      <c r="B357">
        <v>165</v>
      </c>
      <c r="C357">
        <v>88</v>
      </c>
      <c r="D357">
        <v>0</v>
      </c>
      <c r="E357">
        <v>0</v>
      </c>
      <c r="F357">
        <v>30.4</v>
      </c>
      <c r="G357">
        <v>0.30199999999999999</v>
      </c>
      <c r="H357">
        <v>49</v>
      </c>
      <c r="I357">
        <v>1</v>
      </c>
    </row>
    <row r="358" spans="1:9" x14ac:dyDescent="0.3">
      <c r="A358">
        <v>1</v>
      </c>
      <c r="B358">
        <v>125</v>
      </c>
      <c r="C358">
        <v>50</v>
      </c>
      <c r="D358">
        <v>40</v>
      </c>
      <c r="E358">
        <v>167</v>
      </c>
      <c r="F358">
        <v>33.299999999999997</v>
      </c>
      <c r="G358">
        <v>0.96199999999999997</v>
      </c>
      <c r="H358">
        <v>28</v>
      </c>
      <c r="I358">
        <v>1</v>
      </c>
    </row>
    <row r="359" spans="1:9" x14ac:dyDescent="0.3">
      <c r="A359">
        <v>13</v>
      </c>
      <c r="B359">
        <v>129</v>
      </c>
      <c r="C359">
        <v>0</v>
      </c>
      <c r="D359">
        <v>30</v>
      </c>
      <c r="E359">
        <v>0</v>
      </c>
      <c r="F359">
        <v>39.9</v>
      </c>
      <c r="G359">
        <v>0.56899999999999995</v>
      </c>
      <c r="H359">
        <v>44</v>
      </c>
      <c r="I359">
        <v>1</v>
      </c>
    </row>
    <row r="360" spans="1:9" x14ac:dyDescent="0.3">
      <c r="A360">
        <v>12</v>
      </c>
      <c r="B360">
        <v>88</v>
      </c>
      <c r="C360">
        <v>74</v>
      </c>
      <c r="D360">
        <v>40</v>
      </c>
      <c r="E360">
        <v>54</v>
      </c>
      <c r="F360">
        <v>35.299999999999997</v>
      </c>
      <c r="G360">
        <v>0.378</v>
      </c>
      <c r="H360">
        <v>48</v>
      </c>
      <c r="I360">
        <v>0</v>
      </c>
    </row>
    <row r="361" spans="1:9" x14ac:dyDescent="0.3">
      <c r="A361">
        <v>1</v>
      </c>
      <c r="B361">
        <v>196</v>
      </c>
      <c r="C361">
        <v>76</v>
      </c>
      <c r="D361">
        <v>36</v>
      </c>
      <c r="E361">
        <v>249</v>
      </c>
      <c r="F361">
        <v>36.5</v>
      </c>
      <c r="G361">
        <v>0.875</v>
      </c>
      <c r="H361">
        <v>29</v>
      </c>
      <c r="I361">
        <v>1</v>
      </c>
    </row>
    <row r="362" spans="1:9" x14ac:dyDescent="0.3">
      <c r="A362">
        <v>5</v>
      </c>
      <c r="B362">
        <v>189</v>
      </c>
      <c r="C362">
        <v>64</v>
      </c>
      <c r="D362">
        <v>33</v>
      </c>
      <c r="E362">
        <v>325</v>
      </c>
      <c r="F362">
        <v>31.2</v>
      </c>
      <c r="G362">
        <v>0.58299999999999996</v>
      </c>
      <c r="H362">
        <v>29</v>
      </c>
      <c r="I362">
        <v>1</v>
      </c>
    </row>
    <row r="363" spans="1:9" x14ac:dyDescent="0.3">
      <c r="A363">
        <v>5</v>
      </c>
      <c r="B363">
        <v>158</v>
      </c>
      <c r="C363">
        <v>70</v>
      </c>
      <c r="D363">
        <v>0</v>
      </c>
      <c r="E363">
        <v>0</v>
      </c>
      <c r="F363">
        <v>29.8</v>
      </c>
      <c r="G363">
        <v>0.20699999999999999</v>
      </c>
      <c r="H363">
        <v>63</v>
      </c>
      <c r="I363">
        <v>0</v>
      </c>
    </row>
    <row r="364" spans="1:9" x14ac:dyDescent="0.3">
      <c r="A364">
        <v>5</v>
      </c>
      <c r="B364">
        <v>103</v>
      </c>
      <c r="C364">
        <v>108</v>
      </c>
      <c r="D364">
        <v>37</v>
      </c>
      <c r="E364">
        <v>0</v>
      </c>
      <c r="F364">
        <v>39.200000000000003</v>
      </c>
      <c r="G364">
        <v>0.30499999999999999</v>
      </c>
      <c r="H364">
        <v>65</v>
      </c>
      <c r="I364">
        <v>0</v>
      </c>
    </row>
    <row r="365" spans="1:9" x14ac:dyDescent="0.3">
      <c r="A365">
        <v>4</v>
      </c>
      <c r="B365">
        <v>146</v>
      </c>
      <c r="C365">
        <v>78</v>
      </c>
      <c r="D365">
        <v>0</v>
      </c>
      <c r="E365">
        <v>0</v>
      </c>
      <c r="F365">
        <v>38.5</v>
      </c>
      <c r="G365">
        <v>0.52</v>
      </c>
      <c r="H365">
        <v>67</v>
      </c>
      <c r="I365">
        <v>1</v>
      </c>
    </row>
    <row r="366" spans="1:9" x14ac:dyDescent="0.3">
      <c r="A366">
        <v>4</v>
      </c>
      <c r="B366">
        <v>147</v>
      </c>
      <c r="C366">
        <v>74</v>
      </c>
      <c r="D366">
        <v>25</v>
      </c>
      <c r="E366">
        <v>293</v>
      </c>
      <c r="F366">
        <v>34.9</v>
      </c>
      <c r="G366">
        <v>0.38500000000000001</v>
      </c>
      <c r="H366">
        <v>30</v>
      </c>
      <c r="I366">
        <v>0</v>
      </c>
    </row>
    <row r="367" spans="1:9" x14ac:dyDescent="0.3">
      <c r="A367">
        <v>5</v>
      </c>
      <c r="B367">
        <v>99</v>
      </c>
      <c r="C367">
        <v>54</v>
      </c>
      <c r="D367">
        <v>28</v>
      </c>
      <c r="E367">
        <v>83</v>
      </c>
      <c r="F367">
        <v>34</v>
      </c>
      <c r="G367">
        <v>0.499</v>
      </c>
      <c r="H367">
        <v>30</v>
      </c>
      <c r="I367">
        <v>0</v>
      </c>
    </row>
    <row r="368" spans="1:9" x14ac:dyDescent="0.3">
      <c r="A368">
        <v>6</v>
      </c>
      <c r="B368">
        <v>124</v>
      </c>
      <c r="C368">
        <v>72</v>
      </c>
      <c r="D368">
        <v>0</v>
      </c>
      <c r="E368">
        <v>0</v>
      </c>
      <c r="F368">
        <v>27.6</v>
      </c>
      <c r="G368">
        <v>0.36799999999999999</v>
      </c>
      <c r="H368">
        <v>29</v>
      </c>
      <c r="I368">
        <v>1</v>
      </c>
    </row>
    <row r="369" spans="1:9" x14ac:dyDescent="0.3">
      <c r="A369">
        <v>0</v>
      </c>
      <c r="B369">
        <v>101</v>
      </c>
      <c r="C369">
        <v>64</v>
      </c>
      <c r="D369">
        <v>17</v>
      </c>
      <c r="E369">
        <v>0</v>
      </c>
      <c r="F369">
        <v>21</v>
      </c>
      <c r="G369">
        <v>0.252</v>
      </c>
      <c r="H369">
        <v>21</v>
      </c>
      <c r="I369">
        <v>0</v>
      </c>
    </row>
    <row r="370" spans="1:9" x14ac:dyDescent="0.3">
      <c r="A370">
        <v>3</v>
      </c>
      <c r="B370">
        <v>81</v>
      </c>
      <c r="C370">
        <v>86</v>
      </c>
      <c r="D370">
        <v>16</v>
      </c>
      <c r="E370">
        <v>66</v>
      </c>
      <c r="F370">
        <v>27.5</v>
      </c>
      <c r="G370">
        <v>0.30599999999999999</v>
      </c>
      <c r="H370">
        <v>22</v>
      </c>
      <c r="I370">
        <v>0</v>
      </c>
    </row>
    <row r="371" spans="1:9" x14ac:dyDescent="0.3">
      <c r="A371">
        <v>1</v>
      </c>
      <c r="B371">
        <v>133</v>
      </c>
      <c r="C371">
        <v>102</v>
      </c>
      <c r="D371">
        <v>28</v>
      </c>
      <c r="E371">
        <v>140</v>
      </c>
      <c r="F371">
        <v>32.799999999999997</v>
      </c>
      <c r="G371">
        <v>0.23400000000000001</v>
      </c>
      <c r="H371">
        <v>45</v>
      </c>
      <c r="I371">
        <v>1</v>
      </c>
    </row>
    <row r="372" spans="1:9" x14ac:dyDescent="0.3">
      <c r="A372">
        <v>3</v>
      </c>
      <c r="B372">
        <v>173</v>
      </c>
      <c r="C372">
        <v>82</v>
      </c>
      <c r="D372">
        <v>48</v>
      </c>
      <c r="E372">
        <v>465</v>
      </c>
      <c r="F372">
        <v>38.4</v>
      </c>
      <c r="G372">
        <v>2.137</v>
      </c>
      <c r="H372">
        <v>25</v>
      </c>
      <c r="I372">
        <v>1</v>
      </c>
    </row>
    <row r="373" spans="1:9" x14ac:dyDescent="0.3">
      <c r="A373">
        <v>0</v>
      </c>
      <c r="B373">
        <v>118</v>
      </c>
      <c r="C373">
        <v>64</v>
      </c>
      <c r="D373">
        <v>23</v>
      </c>
      <c r="E373">
        <v>89</v>
      </c>
      <c r="F373">
        <v>0</v>
      </c>
      <c r="G373">
        <v>1.7310000000000001</v>
      </c>
      <c r="H373">
        <v>21</v>
      </c>
      <c r="I373">
        <v>0</v>
      </c>
    </row>
    <row r="374" spans="1:9" x14ac:dyDescent="0.3">
      <c r="A374">
        <v>0</v>
      </c>
      <c r="B374">
        <v>84</v>
      </c>
      <c r="C374">
        <v>64</v>
      </c>
      <c r="D374">
        <v>22</v>
      </c>
      <c r="E374">
        <v>66</v>
      </c>
      <c r="F374">
        <v>35.799999999999997</v>
      </c>
      <c r="G374">
        <v>0.54500000000000004</v>
      </c>
      <c r="H374">
        <v>21</v>
      </c>
      <c r="I374">
        <v>0</v>
      </c>
    </row>
    <row r="375" spans="1:9" x14ac:dyDescent="0.3">
      <c r="A375">
        <v>2</v>
      </c>
      <c r="B375">
        <v>105</v>
      </c>
      <c r="C375">
        <v>58</v>
      </c>
      <c r="D375">
        <v>40</v>
      </c>
      <c r="E375">
        <v>94</v>
      </c>
      <c r="F375">
        <v>34.9</v>
      </c>
      <c r="G375">
        <v>0.22500000000000001</v>
      </c>
      <c r="H375">
        <v>25</v>
      </c>
      <c r="I375">
        <v>0</v>
      </c>
    </row>
    <row r="376" spans="1:9" x14ac:dyDescent="0.3">
      <c r="A376">
        <v>2</v>
      </c>
      <c r="B376">
        <v>122</v>
      </c>
      <c r="C376">
        <v>52</v>
      </c>
      <c r="D376">
        <v>43</v>
      </c>
      <c r="E376">
        <v>158</v>
      </c>
      <c r="F376">
        <v>36.200000000000003</v>
      </c>
      <c r="G376">
        <v>0.81599999999999995</v>
      </c>
      <c r="H376">
        <v>28</v>
      </c>
      <c r="I376">
        <v>0</v>
      </c>
    </row>
    <row r="377" spans="1:9" x14ac:dyDescent="0.3">
      <c r="A377">
        <v>12</v>
      </c>
      <c r="B377">
        <v>140</v>
      </c>
      <c r="C377">
        <v>82</v>
      </c>
      <c r="D377">
        <v>43</v>
      </c>
      <c r="E377">
        <v>325</v>
      </c>
      <c r="F377">
        <v>39.200000000000003</v>
      </c>
      <c r="G377">
        <v>0.52800000000000002</v>
      </c>
      <c r="H377">
        <v>58</v>
      </c>
      <c r="I377">
        <v>1</v>
      </c>
    </row>
    <row r="378" spans="1:9" x14ac:dyDescent="0.3">
      <c r="A378">
        <v>0</v>
      </c>
      <c r="B378">
        <v>98</v>
      </c>
      <c r="C378">
        <v>82</v>
      </c>
      <c r="D378">
        <v>15</v>
      </c>
      <c r="E378">
        <v>84</v>
      </c>
      <c r="F378">
        <v>25.2</v>
      </c>
      <c r="G378">
        <v>0.29899999999999999</v>
      </c>
      <c r="H378">
        <v>22</v>
      </c>
      <c r="I378">
        <v>0</v>
      </c>
    </row>
    <row r="379" spans="1:9" x14ac:dyDescent="0.3">
      <c r="A379">
        <v>1</v>
      </c>
      <c r="B379">
        <v>87</v>
      </c>
      <c r="C379">
        <v>60</v>
      </c>
      <c r="D379">
        <v>37</v>
      </c>
      <c r="E379">
        <v>75</v>
      </c>
      <c r="F379">
        <v>37.200000000000003</v>
      </c>
      <c r="G379">
        <v>0.50900000000000001</v>
      </c>
      <c r="H379">
        <v>22</v>
      </c>
      <c r="I379">
        <v>0</v>
      </c>
    </row>
    <row r="380" spans="1:9" x14ac:dyDescent="0.3">
      <c r="A380">
        <v>4</v>
      </c>
      <c r="B380">
        <v>156</v>
      </c>
      <c r="C380">
        <v>75</v>
      </c>
      <c r="D380">
        <v>0</v>
      </c>
      <c r="E380">
        <v>0</v>
      </c>
      <c r="F380">
        <v>48.3</v>
      </c>
      <c r="G380">
        <v>0.23799999999999999</v>
      </c>
      <c r="H380">
        <v>32</v>
      </c>
      <c r="I380">
        <v>1</v>
      </c>
    </row>
    <row r="381" spans="1:9" x14ac:dyDescent="0.3">
      <c r="A381">
        <v>0</v>
      </c>
      <c r="B381">
        <v>93</v>
      </c>
      <c r="C381">
        <v>100</v>
      </c>
      <c r="D381">
        <v>39</v>
      </c>
      <c r="E381">
        <v>72</v>
      </c>
      <c r="F381">
        <v>43.4</v>
      </c>
      <c r="G381">
        <v>1.0209999999999999</v>
      </c>
      <c r="H381">
        <v>35</v>
      </c>
      <c r="I381">
        <v>0</v>
      </c>
    </row>
    <row r="382" spans="1:9" x14ac:dyDescent="0.3">
      <c r="A382">
        <v>1</v>
      </c>
      <c r="B382">
        <v>107</v>
      </c>
      <c r="C382">
        <v>72</v>
      </c>
      <c r="D382">
        <v>30</v>
      </c>
      <c r="E382">
        <v>82</v>
      </c>
      <c r="F382">
        <v>30.8</v>
      </c>
      <c r="G382">
        <v>0.82099999999999995</v>
      </c>
      <c r="H382">
        <v>24</v>
      </c>
      <c r="I382">
        <v>0</v>
      </c>
    </row>
    <row r="383" spans="1:9" x14ac:dyDescent="0.3">
      <c r="A383">
        <v>0</v>
      </c>
      <c r="B383">
        <v>105</v>
      </c>
      <c r="C383">
        <v>68</v>
      </c>
      <c r="D383">
        <v>22</v>
      </c>
      <c r="E383">
        <v>0</v>
      </c>
      <c r="F383">
        <v>20</v>
      </c>
      <c r="G383">
        <v>0.23599999999999999</v>
      </c>
      <c r="H383">
        <v>22</v>
      </c>
      <c r="I383">
        <v>0</v>
      </c>
    </row>
    <row r="384" spans="1:9" x14ac:dyDescent="0.3">
      <c r="A384">
        <v>1</v>
      </c>
      <c r="B384">
        <v>109</v>
      </c>
      <c r="C384">
        <v>60</v>
      </c>
      <c r="D384">
        <v>8</v>
      </c>
      <c r="E384">
        <v>182</v>
      </c>
      <c r="F384">
        <v>25.4</v>
      </c>
      <c r="G384">
        <v>0.94699999999999995</v>
      </c>
      <c r="H384">
        <v>21</v>
      </c>
      <c r="I384">
        <v>0</v>
      </c>
    </row>
    <row r="385" spans="1:9" x14ac:dyDescent="0.3">
      <c r="A385">
        <v>1</v>
      </c>
      <c r="B385">
        <v>90</v>
      </c>
      <c r="C385">
        <v>62</v>
      </c>
      <c r="D385">
        <v>18</v>
      </c>
      <c r="E385">
        <v>59</v>
      </c>
      <c r="F385">
        <v>25.1</v>
      </c>
      <c r="G385">
        <v>1.268</v>
      </c>
      <c r="H385">
        <v>25</v>
      </c>
      <c r="I385">
        <v>0</v>
      </c>
    </row>
    <row r="386" spans="1:9" x14ac:dyDescent="0.3">
      <c r="A386">
        <v>1</v>
      </c>
      <c r="B386">
        <v>125</v>
      </c>
      <c r="C386">
        <v>70</v>
      </c>
      <c r="D386">
        <v>24</v>
      </c>
      <c r="E386">
        <v>110</v>
      </c>
      <c r="F386">
        <v>24.3</v>
      </c>
      <c r="G386">
        <v>0.221</v>
      </c>
      <c r="H386">
        <v>25</v>
      </c>
      <c r="I386">
        <v>0</v>
      </c>
    </row>
    <row r="387" spans="1:9" x14ac:dyDescent="0.3">
      <c r="A387">
        <v>1</v>
      </c>
      <c r="B387">
        <v>119</v>
      </c>
      <c r="C387">
        <v>54</v>
      </c>
      <c r="D387">
        <v>13</v>
      </c>
      <c r="E387">
        <v>50</v>
      </c>
      <c r="F387">
        <v>22.3</v>
      </c>
      <c r="G387">
        <v>0.20499999999999999</v>
      </c>
      <c r="H387">
        <v>24</v>
      </c>
      <c r="I387">
        <v>0</v>
      </c>
    </row>
    <row r="388" spans="1:9" x14ac:dyDescent="0.3">
      <c r="A388">
        <v>5</v>
      </c>
      <c r="B388">
        <v>116</v>
      </c>
      <c r="C388">
        <v>74</v>
      </c>
      <c r="D388">
        <v>29</v>
      </c>
      <c r="E388">
        <v>0</v>
      </c>
      <c r="F388">
        <v>32.299999999999997</v>
      </c>
      <c r="G388">
        <v>0.66</v>
      </c>
      <c r="H388">
        <v>35</v>
      </c>
      <c r="I388">
        <v>1</v>
      </c>
    </row>
    <row r="389" spans="1:9" x14ac:dyDescent="0.3">
      <c r="A389">
        <v>8</v>
      </c>
      <c r="B389">
        <v>105</v>
      </c>
      <c r="C389">
        <v>100</v>
      </c>
      <c r="D389">
        <v>36</v>
      </c>
      <c r="E389">
        <v>0</v>
      </c>
      <c r="F389">
        <v>43.3</v>
      </c>
      <c r="G389">
        <v>0.23899999999999999</v>
      </c>
      <c r="H389">
        <v>45</v>
      </c>
      <c r="I389">
        <v>1</v>
      </c>
    </row>
    <row r="390" spans="1:9" x14ac:dyDescent="0.3">
      <c r="A390">
        <v>5</v>
      </c>
      <c r="B390">
        <v>144</v>
      </c>
      <c r="C390">
        <v>82</v>
      </c>
      <c r="D390">
        <v>26</v>
      </c>
      <c r="E390">
        <v>285</v>
      </c>
      <c r="F390">
        <v>32</v>
      </c>
      <c r="G390">
        <v>0.45200000000000001</v>
      </c>
      <c r="H390">
        <v>58</v>
      </c>
      <c r="I390">
        <v>1</v>
      </c>
    </row>
    <row r="391" spans="1:9" x14ac:dyDescent="0.3">
      <c r="A391">
        <v>3</v>
      </c>
      <c r="B391">
        <v>100</v>
      </c>
      <c r="C391">
        <v>68</v>
      </c>
      <c r="D391">
        <v>23</v>
      </c>
      <c r="E391">
        <v>81</v>
      </c>
      <c r="F391">
        <v>31.6</v>
      </c>
      <c r="G391">
        <v>0.94899999999999995</v>
      </c>
      <c r="H391">
        <v>28</v>
      </c>
      <c r="I391">
        <v>0</v>
      </c>
    </row>
    <row r="392" spans="1:9" x14ac:dyDescent="0.3">
      <c r="A392">
        <v>1</v>
      </c>
      <c r="B392">
        <v>100</v>
      </c>
      <c r="C392">
        <v>66</v>
      </c>
      <c r="D392">
        <v>29</v>
      </c>
      <c r="E392">
        <v>196</v>
      </c>
      <c r="F392">
        <v>32</v>
      </c>
      <c r="G392">
        <v>0.44400000000000001</v>
      </c>
      <c r="H392">
        <v>42</v>
      </c>
      <c r="I392">
        <v>0</v>
      </c>
    </row>
    <row r="393" spans="1:9" x14ac:dyDescent="0.3">
      <c r="A393">
        <v>5</v>
      </c>
      <c r="B393">
        <v>166</v>
      </c>
      <c r="C393">
        <v>76</v>
      </c>
      <c r="D393">
        <v>0</v>
      </c>
      <c r="E393">
        <v>0</v>
      </c>
      <c r="F393">
        <v>45.7</v>
      </c>
      <c r="G393">
        <v>0.34</v>
      </c>
      <c r="H393">
        <v>27</v>
      </c>
      <c r="I393">
        <v>1</v>
      </c>
    </row>
    <row r="394" spans="1:9" x14ac:dyDescent="0.3">
      <c r="A394">
        <v>1</v>
      </c>
      <c r="B394">
        <v>131</v>
      </c>
      <c r="C394">
        <v>64</v>
      </c>
      <c r="D394">
        <v>14</v>
      </c>
      <c r="E394">
        <v>415</v>
      </c>
      <c r="F394">
        <v>23.7</v>
      </c>
      <c r="G394">
        <v>0.38900000000000001</v>
      </c>
      <c r="H394">
        <v>21</v>
      </c>
      <c r="I394">
        <v>0</v>
      </c>
    </row>
    <row r="395" spans="1:9" x14ac:dyDescent="0.3">
      <c r="A395">
        <v>4</v>
      </c>
      <c r="B395">
        <v>116</v>
      </c>
      <c r="C395">
        <v>72</v>
      </c>
      <c r="D395">
        <v>12</v>
      </c>
      <c r="E395">
        <v>87</v>
      </c>
      <c r="F395">
        <v>22.1</v>
      </c>
      <c r="G395">
        <v>0.46300000000000002</v>
      </c>
      <c r="H395">
        <v>37</v>
      </c>
      <c r="I395">
        <v>0</v>
      </c>
    </row>
    <row r="396" spans="1:9" x14ac:dyDescent="0.3">
      <c r="A396">
        <v>4</v>
      </c>
      <c r="B396">
        <v>158</v>
      </c>
      <c r="C396">
        <v>78</v>
      </c>
      <c r="D396">
        <v>0</v>
      </c>
      <c r="E396">
        <v>0</v>
      </c>
      <c r="F396">
        <v>32.9</v>
      </c>
      <c r="G396">
        <v>0.80300000000000005</v>
      </c>
      <c r="H396">
        <v>31</v>
      </c>
      <c r="I396">
        <v>1</v>
      </c>
    </row>
    <row r="397" spans="1:9" x14ac:dyDescent="0.3">
      <c r="A397">
        <v>2</v>
      </c>
      <c r="B397">
        <v>127</v>
      </c>
      <c r="C397">
        <v>58</v>
      </c>
      <c r="D397">
        <v>24</v>
      </c>
      <c r="E397">
        <v>275</v>
      </c>
      <c r="F397">
        <v>27.7</v>
      </c>
      <c r="G397">
        <v>1.6</v>
      </c>
      <c r="H397">
        <v>25</v>
      </c>
      <c r="I397">
        <v>0</v>
      </c>
    </row>
    <row r="398" spans="1:9" x14ac:dyDescent="0.3">
      <c r="A398">
        <v>3</v>
      </c>
      <c r="B398">
        <v>96</v>
      </c>
      <c r="C398">
        <v>56</v>
      </c>
      <c r="D398">
        <v>34</v>
      </c>
      <c r="E398">
        <v>115</v>
      </c>
      <c r="F398">
        <v>24.7</v>
      </c>
      <c r="G398">
        <v>0.94399999999999995</v>
      </c>
      <c r="H398">
        <v>39</v>
      </c>
      <c r="I398">
        <v>0</v>
      </c>
    </row>
    <row r="399" spans="1:9" x14ac:dyDescent="0.3">
      <c r="A399">
        <v>0</v>
      </c>
      <c r="B399">
        <v>131</v>
      </c>
      <c r="C399">
        <v>66</v>
      </c>
      <c r="D399">
        <v>40</v>
      </c>
      <c r="E399">
        <v>0</v>
      </c>
      <c r="F399">
        <v>34.299999999999997</v>
      </c>
      <c r="G399">
        <v>0.19600000000000001</v>
      </c>
      <c r="H399">
        <v>22</v>
      </c>
      <c r="I399">
        <v>1</v>
      </c>
    </row>
    <row r="400" spans="1:9" x14ac:dyDescent="0.3">
      <c r="A400">
        <v>3</v>
      </c>
      <c r="B400">
        <v>82</v>
      </c>
      <c r="C400">
        <v>70</v>
      </c>
      <c r="D400">
        <v>0</v>
      </c>
      <c r="E400">
        <v>0</v>
      </c>
      <c r="F400">
        <v>21.1</v>
      </c>
      <c r="G400">
        <v>0.38900000000000001</v>
      </c>
      <c r="H400">
        <v>25</v>
      </c>
      <c r="I400">
        <v>0</v>
      </c>
    </row>
    <row r="401" spans="1:9" x14ac:dyDescent="0.3">
      <c r="A401">
        <v>3</v>
      </c>
      <c r="B401">
        <v>193</v>
      </c>
      <c r="C401">
        <v>70</v>
      </c>
      <c r="D401">
        <v>31</v>
      </c>
      <c r="E401">
        <v>0</v>
      </c>
      <c r="F401">
        <v>34.9</v>
      </c>
      <c r="G401">
        <v>0.24099999999999999</v>
      </c>
      <c r="H401">
        <v>25</v>
      </c>
      <c r="I401">
        <v>1</v>
      </c>
    </row>
    <row r="402" spans="1:9" x14ac:dyDescent="0.3">
      <c r="A402">
        <v>4</v>
      </c>
      <c r="B402">
        <v>95</v>
      </c>
      <c r="C402">
        <v>64</v>
      </c>
      <c r="D402">
        <v>0</v>
      </c>
      <c r="E402">
        <v>0</v>
      </c>
      <c r="F402">
        <v>32</v>
      </c>
      <c r="G402">
        <v>0.161</v>
      </c>
      <c r="H402">
        <v>31</v>
      </c>
      <c r="I402">
        <v>1</v>
      </c>
    </row>
    <row r="403" spans="1:9" x14ac:dyDescent="0.3">
      <c r="A403">
        <v>6</v>
      </c>
      <c r="B403">
        <v>137</v>
      </c>
      <c r="C403">
        <v>61</v>
      </c>
      <c r="D403">
        <v>0</v>
      </c>
      <c r="E403">
        <v>0</v>
      </c>
      <c r="F403">
        <v>24.2</v>
      </c>
      <c r="G403">
        <v>0.151</v>
      </c>
      <c r="H403">
        <v>55</v>
      </c>
      <c r="I403">
        <v>0</v>
      </c>
    </row>
    <row r="404" spans="1:9" x14ac:dyDescent="0.3">
      <c r="A404">
        <v>5</v>
      </c>
      <c r="B404">
        <v>136</v>
      </c>
      <c r="C404">
        <v>84</v>
      </c>
      <c r="D404">
        <v>41</v>
      </c>
      <c r="E404">
        <v>88</v>
      </c>
      <c r="F404">
        <v>35</v>
      </c>
      <c r="G404">
        <v>0.28599999999999998</v>
      </c>
      <c r="H404">
        <v>35</v>
      </c>
      <c r="I404">
        <v>1</v>
      </c>
    </row>
    <row r="405" spans="1:9" x14ac:dyDescent="0.3">
      <c r="A405">
        <v>9</v>
      </c>
      <c r="B405">
        <v>72</v>
      </c>
      <c r="C405">
        <v>78</v>
      </c>
      <c r="D405">
        <v>25</v>
      </c>
      <c r="E405">
        <v>0</v>
      </c>
      <c r="F405">
        <v>31.6</v>
      </c>
      <c r="G405">
        <v>0.28000000000000003</v>
      </c>
      <c r="H405">
        <v>38</v>
      </c>
      <c r="I405">
        <v>0</v>
      </c>
    </row>
    <row r="406" spans="1:9" x14ac:dyDescent="0.3">
      <c r="A406">
        <v>5</v>
      </c>
      <c r="B406">
        <v>168</v>
      </c>
      <c r="C406">
        <v>64</v>
      </c>
      <c r="D406">
        <v>0</v>
      </c>
      <c r="E406">
        <v>0</v>
      </c>
      <c r="F406">
        <v>32.9</v>
      </c>
      <c r="G406">
        <v>0.13500000000000001</v>
      </c>
      <c r="H406">
        <v>41</v>
      </c>
      <c r="I406">
        <v>1</v>
      </c>
    </row>
    <row r="407" spans="1:9" x14ac:dyDescent="0.3">
      <c r="A407">
        <v>2</v>
      </c>
      <c r="B407">
        <v>123</v>
      </c>
      <c r="C407">
        <v>48</v>
      </c>
      <c r="D407">
        <v>32</v>
      </c>
      <c r="E407">
        <v>165</v>
      </c>
      <c r="F407">
        <v>42.1</v>
      </c>
      <c r="G407">
        <v>0.52</v>
      </c>
      <c r="H407">
        <v>26</v>
      </c>
      <c r="I407">
        <v>0</v>
      </c>
    </row>
    <row r="408" spans="1:9" x14ac:dyDescent="0.3">
      <c r="A408">
        <v>4</v>
      </c>
      <c r="B408">
        <v>115</v>
      </c>
      <c r="C408">
        <v>72</v>
      </c>
      <c r="D408">
        <v>0</v>
      </c>
      <c r="E408">
        <v>0</v>
      </c>
      <c r="F408">
        <v>28.9</v>
      </c>
      <c r="G408">
        <v>0.376</v>
      </c>
      <c r="H408">
        <v>46</v>
      </c>
      <c r="I408">
        <v>1</v>
      </c>
    </row>
    <row r="409" spans="1:9" x14ac:dyDescent="0.3">
      <c r="A409">
        <v>0</v>
      </c>
      <c r="B409">
        <v>101</v>
      </c>
      <c r="C409">
        <v>62</v>
      </c>
      <c r="D409">
        <v>0</v>
      </c>
      <c r="E409">
        <v>0</v>
      </c>
      <c r="F409">
        <v>21.9</v>
      </c>
      <c r="G409">
        <v>0.33600000000000002</v>
      </c>
      <c r="H409">
        <v>25</v>
      </c>
      <c r="I409">
        <v>0</v>
      </c>
    </row>
    <row r="410" spans="1:9" x14ac:dyDescent="0.3">
      <c r="A410">
        <v>8</v>
      </c>
      <c r="B410">
        <v>197</v>
      </c>
      <c r="C410">
        <v>74</v>
      </c>
      <c r="D410">
        <v>0</v>
      </c>
      <c r="E410">
        <v>0</v>
      </c>
      <c r="F410">
        <v>25.9</v>
      </c>
      <c r="G410">
        <v>1.1910000000000001</v>
      </c>
      <c r="H410">
        <v>39</v>
      </c>
      <c r="I410">
        <v>1</v>
      </c>
    </row>
    <row r="411" spans="1:9" x14ac:dyDescent="0.3">
      <c r="A411">
        <v>1</v>
      </c>
      <c r="B411">
        <v>172</v>
      </c>
      <c r="C411">
        <v>68</v>
      </c>
      <c r="D411">
        <v>49</v>
      </c>
      <c r="E411">
        <v>579</v>
      </c>
      <c r="F411">
        <v>42.4</v>
      </c>
      <c r="G411">
        <v>0.70199999999999996</v>
      </c>
      <c r="H411">
        <v>28</v>
      </c>
      <c r="I411">
        <v>1</v>
      </c>
    </row>
    <row r="412" spans="1:9" x14ac:dyDescent="0.3">
      <c r="A412">
        <v>6</v>
      </c>
      <c r="B412">
        <v>102</v>
      </c>
      <c r="C412">
        <v>90</v>
      </c>
      <c r="D412">
        <v>39</v>
      </c>
      <c r="E412">
        <v>0</v>
      </c>
      <c r="F412">
        <v>35.700000000000003</v>
      </c>
      <c r="G412">
        <v>0.67400000000000004</v>
      </c>
      <c r="H412">
        <v>28</v>
      </c>
      <c r="I412">
        <v>0</v>
      </c>
    </row>
    <row r="413" spans="1:9" x14ac:dyDescent="0.3">
      <c r="A413">
        <v>1</v>
      </c>
      <c r="B413">
        <v>112</v>
      </c>
      <c r="C413">
        <v>72</v>
      </c>
      <c r="D413">
        <v>30</v>
      </c>
      <c r="E413">
        <v>176</v>
      </c>
      <c r="F413">
        <v>34.4</v>
      </c>
      <c r="G413">
        <v>0.52800000000000002</v>
      </c>
      <c r="H413">
        <v>25</v>
      </c>
      <c r="I413">
        <v>0</v>
      </c>
    </row>
    <row r="414" spans="1:9" x14ac:dyDescent="0.3">
      <c r="A414">
        <v>1</v>
      </c>
      <c r="B414">
        <v>143</v>
      </c>
      <c r="C414">
        <v>84</v>
      </c>
      <c r="D414">
        <v>23</v>
      </c>
      <c r="E414">
        <v>310</v>
      </c>
      <c r="F414">
        <v>42.4</v>
      </c>
      <c r="G414">
        <v>1.0760000000000001</v>
      </c>
      <c r="H414">
        <v>22</v>
      </c>
      <c r="I414">
        <v>0</v>
      </c>
    </row>
    <row r="415" spans="1:9" x14ac:dyDescent="0.3">
      <c r="A415">
        <v>1</v>
      </c>
      <c r="B415">
        <v>143</v>
      </c>
      <c r="C415">
        <v>74</v>
      </c>
      <c r="D415">
        <v>22</v>
      </c>
      <c r="E415">
        <v>61</v>
      </c>
      <c r="F415">
        <v>26.2</v>
      </c>
      <c r="G415">
        <v>0.25600000000000001</v>
      </c>
      <c r="H415">
        <v>21</v>
      </c>
      <c r="I415">
        <v>0</v>
      </c>
    </row>
    <row r="416" spans="1:9" x14ac:dyDescent="0.3">
      <c r="A416">
        <v>0</v>
      </c>
      <c r="B416">
        <v>138</v>
      </c>
      <c r="C416">
        <v>60</v>
      </c>
      <c r="D416">
        <v>35</v>
      </c>
      <c r="E416">
        <v>167</v>
      </c>
      <c r="F416">
        <v>34.6</v>
      </c>
      <c r="G416">
        <v>0.53400000000000003</v>
      </c>
      <c r="H416">
        <v>21</v>
      </c>
      <c r="I416">
        <v>1</v>
      </c>
    </row>
    <row r="417" spans="1:9" x14ac:dyDescent="0.3">
      <c r="A417">
        <v>3</v>
      </c>
      <c r="B417">
        <v>173</v>
      </c>
      <c r="C417">
        <v>84</v>
      </c>
      <c r="D417">
        <v>33</v>
      </c>
      <c r="E417">
        <v>474</v>
      </c>
      <c r="F417">
        <v>35.700000000000003</v>
      </c>
      <c r="G417">
        <v>0.25800000000000001</v>
      </c>
      <c r="H417">
        <v>22</v>
      </c>
      <c r="I417">
        <v>1</v>
      </c>
    </row>
    <row r="418" spans="1:9" x14ac:dyDescent="0.3">
      <c r="A418">
        <v>1</v>
      </c>
      <c r="B418">
        <v>97</v>
      </c>
      <c r="C418">
        <v>68</v>
      </c>
      <c r="D418">
        <v>21</v>
      </c>
      <c r="E418">
        <v>0</v>
      </c>
      <c r="F418">
        <v>27.2</v>
      </c>
      <c r="G418">
        <v>1.095</v>
      </c>
      <c r="H418">
        <v>22</v>
      </c>
      <c r="I418">
        <v>0</v>
      </c>
    </row>
    <row r="419" spans="1:9" x14ac:dyDescent="0.3">
      <c r="A419">
        <v>4</v>
      </c>
      <c r="B419">
        <v>144</v>
      </c>
      <c r="C419">
        <v>82</v>
      </c>
      <c r="D419">
        <v>32</v>
      </c>
      <c r="E419">
        <v>0</v>
      </c>
      <c r="F419">
        <v>38.5</v>
      </c>
      <c r="G419">
        <v>0.55400000000000005</v>
      </c>
      <c r="H419">
        <v>37</v>
      </c>
      <c r="I419">
        <v>1</v>
      </c>
    </row>
    <row r="420" spans="1:9" x14ac:dyDescent="0.3">
      <c r="A420">
        <v>1</v>
      </c>
      <c r="B420">
        <v>83</v>
      </c>
      <c r="C420">
        <v>68</v>
      </c>
      <c r="D420">
        <v>0</v>
      </c>
      <c r="E420">
        <v>0</v>
      </c>
      <c r="F420">
        <v>18.2</v>
      </c>
      <c r="G420">
        <v>0.624</v>
      </c>
      <c r="H420">
        <v>27</v>
      </c>
      <c r="I420">
        <v>0</v>
      </c>
    </row>
    <row r="421" spans="1:9" x14ac:dyDescent="0.3">
      <c r="A421">
        <v>3</v>
      </c>
      <c r="B421">
        <v>129</v>
      </c>
      <c r="C421">
        <v>64</v>
      </c>
      <c r="D421">
        <v>29</v>
      </c>
      <c r="E421">
        <v>115</v>
      </c>
      <c r="F421">
        <v>26.4</v>
      </c>
      <c r="G421">
        <v>0.219</v>
      </c>
      <c r="H421">
        <v>28</v>
      </c>
      <c r="I421">
        <v>1</v>
      </c>
    </row>
    <row r="422" spans="1:9" x14ac:dyDescent="0.3">
      <c r="A422">
        <v>1</v>
      </c>
      <c r="B422">
        <v>119</v>
      </c>
      <c r="C422">
        <v>88</v>
      </c>
      <c r="D422">
        <v>41</v>
      </c>
      <c r="E422">
        <v>170</v>
      </c>
      <c r="F422">
        <v>45.3</v>
      </c>
      <c r="G422">
        <v>0.50700000000000001</v>
      </c>
      <c r="H422">
        <v>26</v>
      </c>
      <c r="I422">
        <v>0</v>
      </c>
    </row>
    <row r="423" spans="1:9" x14ac:dyDescent="0.3">
      <c r="A423">
        <v>2</v>
      </c>
      <c r="B423">
        <v>94</v>
      </c>
      <c r="C423">
        <v>68</v>
      </c>
      <c r="D423">
        <v>18</v>
      </c>
      <c r="E423">
        <v>76</v>
      </c>
      <c r="F423">
        <v>26</v>
      </c>
      <c r="G423">
        <v>0.56100000000000005</v>
      </c>
      <c r="H423">
        <v>21</v>
      </c>
      <c r="I423">
        <v>0</v>
      </c>
    </row>
    <row r="424" spans="1:9" x14ac:dyDescent="0.3">
      <c r="A424">
        <v>0</v>
      </c>
      <c r="B424">
        <v>102</v>
      </c>
      <c r="C424">
        <v>64</v>
      </c>
      <c r="D424">
        <v>46</v>
      </c>
      <c r="E424">
        <v>78</v>
      </c>
      <c r="F424">
        <v>40.6</v>
      </c>
      <c r="G424">
        <v>0.496</v>
      </c>
      <c r="H424">
        <v>21</v>
      </c>
      <c r="I424">
        <v>0</v>
      </c>
    </row>
    <row r="425" spans="1:9" x14ac:dyDescent="0.3">
      <c r="A425">
        <v>2</v>
      </c>
      <c r="B425">
        <v>115</v>
      </c>
      <c r="C425">
        <v>64</v>
      </c>
      <c r="D425">
        <v>22</v>
      </c>
      <c r="E425">
        <v>0</v>
      </c>
      <c r="F425">
        <v>30.8</v>
      </c>
      <c r="G425">
        <v>0.42099999999999999</v>
      </c>
      <c r="H425">
        <v>21</v>
      </c>
      <c r="I425">
        <v>0</v>
      </c>
    </row>
    <row r="426" spans="1:9" x14ac:dyDescent="0.3">
      <c r="A426">
        <v>8</v>
      </c>
      <c r="B426">
        <v>151</v>
      </c>
      <c r="C426">
        <v>78</v>
      </c>
      <c r="D426">
        <v>32</v>
      </c>
      <c r="E426">
        <v>210</v>
      </c>
      <c r="F426">
        <v>42.9</v>
      </c>
      <c r="G426">
        <v>0.51600000000000001</v>
      </c>
      <c r="H426">
        <v>36</v>
      </c>
      <c r="I426">
        <v>1</v>
      </c>
    </row>
    <row r="427" spans="1:9" x14ac:dyDescent="0.3">
      <c r="A427">
        <v>4</v>
      </c>
      <c r="B427">
        <v>184</v>
      </c>
      <c r="C427">
        <v>78</v>
      </c>
      <c r="D427">
        <v>39</v>
      </c>
      <c r="E427">
        <v>277</v>
      </c>
      <c r="F427">
        <v>37</v>
      </c>
      <c r="G427">
        <v>0.26400000000000001</v>
      </c>
      <c r="H427">
        <v>31</v>
      </c>
      <c r="I427">
        <v>1</v>
      </c>
    </row>
    <row r="428" spans="1:9" x14ac:dyDescent="0.3">
      <c r="A428">
        <v>0</v>
      </c>
      <c r="B428">
        <v>94</v>
      </c>
      <c r="C428">
        <v>0</v>
      </c>
      <c r="D428">
        <v>0</v>
      </c>
      <c r="E428">
        <v>0</v>
      </c>
      <c r="F428">
        <v>0</v>
      </c>
      <c r="G428">
        <v>0.25600000000000001</v>
      </c>
      <c r="H428">
        <v>25</v>
      </c>
      <c r="I428">
        <v>0</v>
      </c>
    </row>
    <row r="429" spans="1:9" x14ac:dyDescent="0.3">
      <c r="A429">
        <v>1</v>
      </c>
      <c r="B429">
        <v>181</v>
      </c>
      <c r="C429">
        <v>64</v>
      </c>
      <c r="D429">
        <v>30</v>
      </c>
      <c r="E429">
        <v>180</v>
      </c>
      <c r="F429">
        <v>34.1</v>
      </c>
      <c r="G429">
        <v>0.32800000000000001</v>
      </c>
      <c r="H429">
        <v>38</v>
      </c>
      <c r="I429">
        <v>1</v>
      </c>
    </row>
    <row r="430" spans="1:9" x14ac:dyDescent="0.3">
      <c r="A430">
        <v>0</v>
      </c>
      <c r="B430">
        <v>135</v>
      </c>
      <c r="C430">
        <v>94</v>
      </c>
      <c r="D430">
        <v>46</v>
      </c>
      <c r="E430">
        <v>145</v>
      </c>
      <c r="F430">
        <v>40.6</v>
      </c>
      <c r="G430">
        <v>0.28399999999999997</v>
      </c>
      <c r="H430">
        <v>26</v>
      </c>
      <c r="I430">
        <v>0</v>
      </c>
    </row>
    <row r="431" spans="1:9" x14ac:dyDescent="0.3">
      <c r="A431">
        <v>1</v>
      </c>
      <c r="B431">
        <v>95</v>
      </c>
      <c r="C431">
        <v>82</v>
      </c>
      <c r="D431">
        <v>25</v>
      </c>
      <c r="E431">
        <v>180</v>
      </c>
      <c r="F431">
        <v>35</v>
      </c>
      <c r="G431">
        <v>0.23300000000000001</v>
      </c>
      <c r="H431">
        <v>43</v>
      </c>
      <c r="I431">
        <v>1</v>
      </c>
    </row>
    <row r="432" spans="1:9" x14ac:dyDescent="0.3">
      <c r="A432">
        <v>2</v>
      </c>
      <c r="B432">
        <v>99</v>
      </c>
      <c r="C432">
        <v>0</v>
      </c>
      <c r="D432">
        <v>0</v>
      </c>
      <c r="E432">
        <v>0</v>
      </c>
      <c r="F432">
        <v>22.2</v>
      </c>
      <c r="G432">
        <v>0.108</v>
      </c>
      <c r="H432">
        <v>23</v>
      </c>
      <c r="I432">
        <v>0</v>
      </c>
    </row>
    <row r="433" spans="1:9" x14ac:dyDescent="0.3">
      <c r="A433">
        <v>3</v>
      </c>
      <c r="B433">
        <v>89</v>
      </c>
      <c r="C433">
        <v>74</v>
      </c>
      <c r="D433">
        <v>16</v>
      </c>
      <c r="E433">
        <v>85</v>
      </c>
      <c r="F433">
        <v>30.4</v>
      </c>
      <c r="G433">
        <v>0.55100000000000005</v>
      </c>
      <c r="H433">
        <v>38</v>
      </c>
      <c r="I433">
        <v>0</v>
      </c>
    </row>
    <row r="434" spans="1:9" x14ac:dyDescent="0.3">
      <c r="A434">
        <v>1</v>
      </c>
      <c r="B434">
        <v>80</v>
      </c>
      <c r="C434">
        <v>74</v>
      </c>
      <c r="D434">
        <v>11</v>
      </c>
      <c r="E434">
        <v>60</v>
      </c>
      <c r="F434">
        <v>30</v>
      </c>
      <c r="G434">
        <v>0.52700000000000002</v>
      </c>
      <c r="H434">
        <v>22</v>
      </c>
      <c r="I434">
        <v>0</v>
      </c>
    </row>
    <row r="435" spans="1:9" x14ac:dyDescent="0.3">
      <c r="A435">
        <v>2</v>
      </c>
      <c r="B435">
        <v>139</v>
      </c>
      <c r="C435">
        <v>75</v>
      </c>
      <c r="D435">
        <v>0</v>
      </c>
      <c r="E435">
        <v>0</v>
      </c>
      <c r="F435">
        <v>25.6</v>
      </c>
      <c r="G435">
        <v>0.16700000000000001</v>
      </c>
      <c r="H435">
        <v>29</v>
      </c>
      <c r="I435">
        <v>0</v>
      </c>
    </row>
    <row r="436" spans="1:9" x14ac:dyDescent="0.3">
      <c r="A436">
        <v>1</v>
      </c>
      <c r="B436">
        <v>90</v>
      </c>
      <c r="C436">
        <v>68</v>
      </c>
      <c r="D436">
        <v>8</v>
      </c>
      <c r="E436">
        <v>0</v>
      </c>
      <c r="F436">
        <v>24.5</v>
      </c>
      <c r="G436">
        <v>1.1379999999999999</v>
      </c>
      <c r="H436">
        <v>36</v>
      </c>
      <c r="I436">
        <v>0</v>
      </c>
    </row>
    <row r="437" spans="1:9" x14ac:dyDescent="0.3">
      <c r="A437">
        <v>0</v>
      </c>
      <c r="B437">
        <v>141</v>
      </c>
      <c r="C437">
        <v>0</v>
      </c>
      <c r="D437">
        <v>0</v>
      </c>
      <c r="E437">
        <v>0</v>
      </c>
      <c r="F437">
        <v>42.4</v>
      </c>
      <c r="G437">
        <v>0.20499999999999999</v>
      </c>
      <c r="H437">
        <v>29</v>
      </c>
      <c r="I437">
        <v>1</v>
      </c>
    </row>
    <row r="438" spans="1:9" x14ac:dyDescent="0.3">
      <c r="A438">
        <v>12</v>
      </c>
      <c r="B438">
        <v>140</v>
      </c>
      <c r="C438">
        <v>85</v>
      </c>
      <c r="D438">
        <v>33</v>
      </c>
      <c r="E438">
        <v>0</v>
      </c>
      <c r="F438">
        <v>37.4</v>
      </c>
      <c r="G438">
        <v>0.24399999999999999</v>
      </c>
      <c r="H438">
        <v>41</v>
      </c>
      <c r="I438">
        <v>0</v>
      </c>
    </row>
    <row r="439" spans="1:9" x14ac:dyDescent="0.3">
      <c r="A439">
        <v>5</v>
      </c>
      <c r="B439">
        <v>147</v>
      </c>
      <c r="C439">
        <v>75</v>
      </c>
      <c r="D439">
        <v>0</v>
      </c>
      <c r="E439">
        <v>0</v>
      </c>
      <c r="F439">
        <v>29.9</v>
      </c>
      <c r="G439">
        <v>0.434</v>
      </c>
      <c r="H439">
        <v>28</v>
      </c>
      <c r="I439">
        <v>0</v>
      </c>
    </row>
    <row r="440" spans="1:9" x14ac:dyDescent="0.3">
      <c r="A440">
        <v>1</v>
      </c>
      <c r="B440">
        <v>97</v>
      </c>
      <c r="C440">
        <v>70</v>
      </c>
      <c r="D440">
        <v>15</v>
      </c>
      <c r="E440">
        <v>0</v>
      </c>
      <c r="F440">
        <v>18.2</v>
      </c>
      <c r="G440">
        <v>0.14699999999999999</v>
      </c>
      <c r="H440">
        <v>21</v>
      </c>
      <c r="I440">
        <v>0</v>
      </c>
    </row>
    <row r="441" spans="1:9" x14ac:dyDescent="0.3">
      <c r="A441">
        <v>6</v>
      </c>
      <c r="B441">
        <v>107</v>
      </c>
      <c r="C441">
        <v>88</v>
      </c>
      <c r="D441">
        <v>0</v>
      </c>
      <c r="E441">
        <v>0</v>
      </c>
      <c r="F441">
        <v>36.799999999999997</v>
      </c>
      <c r="G441">
        <v>0.72699999999999998</v>
      </c>
      <c r="H441">
        <v>31</v>
      </c>
      <c r="I441">
        <v>0</v>
      </c>
    </row>
    <row r="442" spans="1:9" x14ac:dyDescent="0.3">
      <c r="A442">
        <v>0</v>
      </c>
      <c r="B442">
        <v>189</v>
      </c>
      <c r="C442">
        <v>104</v>
      </c>
      <c r="D442">
        <v>25</v>
      </c>
      <c r="E442">
        <v>0</v>
      </c>
      <c r="F442">
        <v>34.299999999999997</v>
      </c>
      <c r="G442">
        <v>0.435</v>
      </c>
      <c r="H442">
        <v>41</v>
      </c>
      <c r="I442">
        <v>1</v>
      </c>
    </row>
    <row r="443" spans="1:9" x14ac:dyDescent="0.3">
      <c r="A443">
        <v>2</v>
      </c>
      <c r="B443">
        <v>83</v>
      </c>
      <c r="C443">
        <v>66</v>
      </c>
      <c r="D443">
        <v>23</v>
      </c>
      <c r="E443">
        <v>50</v>
      </c>
      <c r="F443">
        <v>32.200000000000003</v>
      </c>
      <c r="G443">
        <v>0.497</v>
      </c>
      <c r="H443">
        <v>22</v>
      </c>
      <c r="I443">
        <v>0</v>
      </c>
    </row>
    <row r="444" spans="1:9" x14ac:dyDescent="0.3">
      <c r="A444">
        <v>4</v>
      </c>
      <c r="B444">
        <v>117</v>
      </c>
      <c r="C444">
        <v>64</v>
      </c>
      <c r="D444">
        <v>27</v>
      </c>
      <c r="E444">
        <v>120</v>
      </c>
      <c r="F444">
        <v>33.200000000000003</v>
      </c>
      <c r="G444">
        <v>0.23</v>
      </c>
      <c r="H444">
        <v>24</v>
      </c>
      <c r="I444">
        <v>0</v>
      </c>
    </row>
    <row r="445" spans="1:9" x14ac:dyDescent="0.3">
      <c r="A445">
        <v>8</v>
      </c>
      <c r="B445">
        <v>108</v>
      </c>
      <c r="C445">
        <v>70</v>
      </c>
      <c r="D445">
        <v>0</v>
      </c>
      <c r="E445">
        <v>0</v>
      </c>
      <c r="F445">
        <v>30.5</v>
      </c>
      <c r="G445">
        <v>0.95499999999999996</v>
      </c>
      <c r="H445">
        <v>33</v>
      </c>
      <c r="I445">
        <v>1</v>
      </c>
    </row>
    <row r="446" spans="1:9" x14ac:dyDescent="0.3">
      <c r="A446">
        <v>4</v>
      </c>
      <c r="B446">
        <v>117</v>
      </c>
      <c r="C446">
        <v>62</v>
      </c>
      <c r="D446">
        <v>12</v>
      </c>
      <c r="E446">
        <v>0</v>
      </c>
      <c r="F446">
        <v>29.7</v>
      </c>
      <c r="G446">
        <v>0.38</v>
      </c>
      <c r="H446">
        <v>30</v>
      </c>
      <c r="I446">
        <v>1</v>
      </c>
    </row>
    <row r="447" spans="1:9" x14ac:dyDescent="0.3">
      <c r="A447">
        <v>0</v>
      </c>
      <c r="B447">
        <v>180</v>
      </c>
      <c r="C447">
        <v>78</v>
      </c>
      <c r="D447">
        <v>63</v>
      </c>
      <c r="E447">
        <v>14</v>
      </c>
      <c r="F447">
        <v>59.4</v>
      </c>
      <c r="G447">
        <v>2.42</v>
      </c>
      <c r="H447">
        <v>25</v>
      </c>
      <c r="I447">
        <v>1</v>
      </c>
    </row>
    <row r="448" spans="1:9" x14ac:dyDescent="0.3">
      <c r="A448">
        <v>1</v>
      </c>
      <c r="B448">
        <v>100</v>
      </c>
      <c r="C448">
        <v>72</v>
      </c>
      <c r="D448">
        <v>12</v>
      </c>
      <c r="E448">
        <v>70</v>
      </c>
      <c r="F448">
        <v>25.3</v>
      </c>
      <c r="G448">
        <v>0.65800000000000003</v>
      </c>
      <c r="H448">
        <v>28</v>
      </c>
      <c r="I448">
        <v>0</v>
      </c>
    </row>
    <row r="449" spans="1:9" x14ac:dyDescent="0.3">
      <c r="A449">
        <v>0</v>
      </c>
      <c r="B449">
        <v>95</v>
      </c>
      <c r="C449">
        <v>80</v>
      </c>
      <c r="D449">
        <v>45</v>
      </c>
      <c r="E449">
        <v>92</v>
      </c>
      <c r="F449">
        <v>36.5</v>
      </c>
      <c r="G449">
        <v>0.33</v>
      </c>
      <c r="H449">
        <v>26</v>
      </c>
      <c r="I449">
        <v>0</v>
      </c>
    </row>
    <row r="450" spans="1:9" x14ac:dyDescent="0.3">
      <c r="A450">
        <v>0</v>
      </c>
      <c r="B450">
        <v>104</v>
      </c>
      <c r="C450">
        <v>64</v>
      </c>
      <c r="D450">
        <v>37</v>
      </c>
      <c r="E450">
        <v>64</v>
      </c>
      <c r="F450">
        <v>33.6</v>
      </c>
      <c r="G450">
        <v>0.51</v>
      </c>
      <c r="H450">
        <v>22</v>
      </c>
      <c r="I450">
        <v>1</v>
      </c>
    </row>
    <row r="451" spans="1:9" x14ac:dyDescent="0.3">
      <c r="A451">
        <v>0</v>
      </c>
      <c r="B451">
        <v>120</v>
      </c>
      <c r="C451">
        <v>74</v>
      </c>
      <c r="D451">
        <v>18</v>
      </c>
      <c r="E451">
        <v>63</v>
      </c>
      <c r="F451">
        <v>30.5</v>
      </c>
      <c r="G451">
        <v>0.28499999999999998</v>
      </c>
      <c r="H451">
        <v>26</v>
      </c>
      <c r="I451">
        <v>0</v>
      </c>
    </row>
    <row r="452" spans="1:9" x14ac:dyDescent="0.3">
      <c r="A452">
        <v>1</v>
      </c>
      <c r="B452">
        <v>82</v>
      </c>
      <c r="C452">
        <v>64</v>
      </c>
      <c r="D452">
        <v>13</v>
      </c>
      <c r="E452">
        <v>95</v>
      </c>
      <c r="F452">
        <v>21.2</v>
      </c>
      <c r="G452">
        <v>0.41499999999999998</v>
      </c>
      <c r="H452">
        <v>23</v>
      </c>
      <c r="I452">
        <v>0</v>
      </c>
    </row>
    <row r="453" spans="1:9" x14ac:dyDescent="0.3">
      <c r="A453">
        <v>2</v>
      </c>
      <c r="B453">
        <v>134</v>
      </c>
      <c r="C453">
        <v>70</v>
      </c>
      <c r="D453">
        <v>0</v>
      </c>
      <c r="E453">
        <v>0</v>
      </c>
      <c r="F453">
        <v>28.9</v>
      </c>
      <c r="G453">
        <v>0.54200000000000004</v>
      </c>
      <c r="H453">
        <v>23</v>
      </c>
      <c r="I453">
        <v>1</v>
      </c>
    </row>
    <row r="454" spans="1:9" x14ac:dyDescent="0.3">
      <c r="A454">
        <v>0</v>
      </c>
      <c r="B454">
        <v>91</v>
      </c>
      <c r="C454">
        <v>68</v>
      </c>
      <c r="D454">
        <v>32</v>
      </c>
      <c r="E454">
        <v>210</v>
      </c>
      <c r="F454">
        <v>39.9</v>
      </c>
      <c r="G454">
        <v>0.38100000000000001</v>
      </c>
      <c r="H454">
        <v>25</v>
      </c>
      <c r="I454">
        <v>0</v>
      </c>
    </row>
    <row r="455" spans="1:9" x14ac:dyDescent="0.3">
      <c r="A455">
        <v>2</v>
      </c>
      <c r="B455">
        <v>119</v>
      </c>
      <c r="C455">
        <v>0</v>
      </c>
      <c r="D455">
        <v>0</v>
      </c>
      <c r="E455">
        <v>0</v>
      </c>
      <c r="F455">
        <v>19.600000000000001</v>
      </c>
      <c r="G455">
        <v>0.83199999999999996</v>
      </c>
      <c r="H455">
        <v>72</v>
      </c>
      <c r="I455">
        <v>0</v>
      </c>
    </row>
    <row r="456" spans="1:9" x14ac:dyDescent="0.3">
      <c r="A456">
        <v>2</v>
      </c>
      <c r="B456">
        <v>100</v>
      </c>
      <c r="C456">
        <v>54</v>
      </c>
      <c r="D456">
        <v>28</v>
      </c>
      <c r="E456">
        <v>105</v>
      </c>
      <c r="F456">
        <v>37.799999999999997</v>
      </c>
      <c r="G456">
        <v>0.498</v>
      </c>
      <c r="H456">
        <v>24</v>
      </c>
      <c r="I456">
        <v>0</v>
      </c>
    </row>
    <row r="457" spans="1:9" x14ac:dyDescent="0.3">
      <c r="A457">
        <v>14</v>
      </c>
      <c r="B457">
        <v>175</v>
      </c>
      <c r="C457">
        <v>62</v>
      </c>
      <c r="D457">
        <v>30</v>
      </c>
      <c r="E457">
        <v>0</v>
      </c>
      <c r="F457">
        <v>33.6</v>
      </c>
      <c r="G457">
        <v>0.21199999999999999</v>
      </c>
      <c r="H457">
        <v>38</v>
      </c>
      <c r="I457">
        <v>1</v>
      </c>
    </row>
    <row r="458" spans="1:9" x14ac:dyDescent="0.3">
      <c r="A458">
        <v>1</v>
      </c>
      <c r="B458">
        <v>135</v>
      </c>
      <c r="C458">
        <v>54</v>
      </c>
      <c r="D458">
        <v>0</v>
      </c>
      <c r="E458">
        <v>0</v>
      </c>
      <c r="F458">
        <v>26.7</v>
      </c>
      <c r="G458">
        <v>0.68700000000000006</v>
      </c>
      <c r="H458">
        <v>62</v>
      </c>
      <c r="I458">
        <v>0</v>
      </c>
    </row>
    <row r="459" spans="1:9" x14ac:dyDescent="0.3">
      <c r="A459">
        <v>5</v>
      </c>
      <c r="B459">
        <v>86</v>
      </c>
      <c r="C459">
        <v>68</v>
      </c>
      <c r="D459">
        <v>28</v>
      </c>
      <c r="E459">
        <v>71</v>
      </c>
      <c r="F459">
        <v>30.2</v>
      </c>
      <c r="G459">
        <v>0.36399999999999999</v>
      </c>
      <c r="H459">
        <v>24</v>
      </c>
      <c r="I459">
        <v>0</v>
      </c>
    </row>
    <row r="460" spans="1:9" x14ac:dyDescent="0.3">
      <c r="A460">
        <v>10</v>
      </c>
      <c r="B460">
        <v>148</v>
      </c>
      <c r="C460">
        <v>84</v>
      </c>
      <c r="D460">
        <v>48</v>
      </c>
      <c r="E460">
        <v>237</v>
      </c>
      <c r="F460">
        <v>37.6</v>
      </c>
      <c r="G460">
        <v>1.0009999999999999</v>
      </c>
      <c r="H460">
        <v>51</v>
      </c>
      <c r="I460">
        <v>1</v>
      </c>
    </row>
    <row r="461" spans="1:9" x14ac:dyDescent="0.3">
      <c r="A461">
        <v>9</v>
      </c>
      <c r="B461">
        <v>134</v>
      </c>
      <c r="C461">
        <v>74</v>
      </c>
      <c r="D461">
        <v>33</v>
      </c>
      <c r="E461">
        <v>60</v>
      </c>
      <c r="F461">
        <v>25.9</v>
      </c>
      <c r="G461">
        <v>0.46</v>
      </c>
      <c r="H461">
        <v>81</v>
      </c>
      <c r="I461">
        <v>0</v>
      </c>
    </row>
    <row r="462" spans="1:9" x14ac:dyDescent="0.3">
      <c r="A462">
        <v>9</v>
      </c>
      <c r="B462">
        <v>120</v>
      </c>
      <c r="C462">
        <v>72</v>
      </c>
      <c r="D462">
        <v>22</v>
      </c>
      <c r="E462">
        <v>56</v>
      </c>
      <c r="F462">
        <v>20.8</v>
      </c>
      <c r="G462">
        <v>0.73299999999999998</v>
      </c>
      <c r="H462">
        <v>48</v>
      </c>
      <c r="I462">
        <v>0</v>
      </c>
    </row>
    <row r="463" spans="1:9" x14ac:dyDescent="0.3">
      <c r="A463">
        <v>1</v>
      </c>
      <c r="B463">
        <v>71</v>
      </c>
      <c r="C463">
        <v>62</v>
      </c>
      <c r="D463">
        <v>0</v>
      </c>
      <c r="E463">
        <v>0</v>
      </c>
      <c r="F463">
        <v>21.8</v>
      </c>
      <c r="G463">
        <v>0.41599999999999998</v>
      </c>
      <c r="H463">
        <v>26</v>
      </c>
      <c r="I463">
        <v>0</v>
      </c>
    </row>
    <row r="464" spans="1:9" x14ac:dyDescent="0.3">
      <c r="A464">
        <v>8</v>
      </c>
      <c r="B464">
        <v>74</v>
      </c>
      <c r="C464">
        <v>70</v>
      </c>
      <c r="D464">
        <v>40</v>
      </c>
      <c r="E464">
        <v>49</v>
      </c>
      <c r="F464">
        <v>35.299999999999997</v>
      </c>
      <c r="G464">
        <v>0.70499999999999996</v>
      </c>
      <c r="H464">
        <v>39</v>
      </c>
      <c r="I464">
        <v>0</v>
      </c>
    </row>
    <row r="465" spans="1:9" x14ac:dyDescent="0.3">
      <c r="A465">
        <v>5</v>
      </c>
      <c r="B465">
        <v>88</v>
      </c>
      <c r="C465">
        <v>78</v>
      </c>
      <c r="D465">
        <v>30</v>
      </c>
      <c r="E465">
        <v>0</v>
      </c>
      <c r="F465">
        <v>27.6</v>
      </c>
      <c r="G465">
        <v>0.25800000000000001</v>
      </c>
      <c r="H465">
        <v>37</v>
      </c>
      <c r="I465">
        <v>0</v>
      </c>
    </row>
    <row r="466" spans="1:9" x14ac:dyDescent="0.3">
      <c r="A466">
        <v>10</v>
      </c>
      <c r="B466">
        <v>115</v>
      </c>
      <c r="C466">
        <v>98</v>
      </c>
      <c r="D466">
        <v>0</v>
      </c>
      <c r="E466">
        <v>0</v>
      </c>
      <c r="F466">
        <v>24</v>
      </c>
      <c r="G466">
        <v>1.022</v>
      </c>
      <c r="H466">
        <v>34</v>
      </c>
      <c r="I466">
        <v>0</v>
      </c>
    </row>
    <row r="467" spans="1:9" x14ac:dyDescent="0.3">
      <c r="A467">
        <v>0</v>
      </c>
      <c r="B467">
        <v>124</v>
      </c>
      <c r="C467">
        <v>56</v>
      </c>
      <c r="D467">
        <v>13</v>
      </c>
      <c r="E467">
        <v>105</v>
      </c>
      <c r="F467">
        <v>21.8</v>
      </c>
      <c r="G467">
        <v>0.45200000000000001</v>
      </c>
      <c r="H467">
        <v>21</v>
      </c>
      <c r="I467">
        <v>0</v>
      </c>
    </row>
    <row r="468" spans="1:9" x14ac:dyDescent="0.3">
      <c r="A468">
        <v>0</v>
      </c>
      <c r="B468">
        <v>74</v>
      </c>
      <c r="C468">
        <v>52</v>
      </c>
      <c r="D468">
        <v>10</v>
      </c>
      <c r="E468">
        <v>36</v>
      </c>
      <c r="F468">
        <v>27.8</v>
      </c>
      <c r="G468">
        <v>0.26900000000000002</v>
      </c>
      <c r="H468">
        <v>22</v>
      </c>
      <c r="I468">
        <v>0</v>
      </c>
    </row>
    <row r="469" spans="1:9" x14ac:dyDescent="0.3">
      <c r="A469">
        <v>0</v>
      </c>
      <c r="B469">
        <v>97</v>
      </c>
      <c r="C469">
        <v>64</v>
      </c>
      <c r="D469">
        <v>36</v>
      </c>
      <c r="E469">
        <v>100</v>
      </c>
      <c r="F469">
        <v>36.799999999999997</v>
      </c>
      <c r="G469">
        <v>0.6</v>
      </c>
      <c r="H469">
        <v>25</v>
      </c>
      <c r="I469">
        <v>0</v>
      </c>
    </row>
    <row r="470" spans="1:9" x14ac:dyDescent="0.3">
      <c r="A470">
        <v>8</v>
      </c>
      <c r="B470">
        <v>120</v>
      </c>
      <c r="C470">
        <v>0</v>
      </c>
      <c r="D470">
        <v>0</v>
      </c>
      <c r="E470">
        <v>0</v>
      </c>
      <c r="F470">
        <v>30</v>
      </c>
      <c r="G470">
        <v>0.183</v>
      </c>
      <c r="H470">
        <v>38</v>
      </c>
      <c r="I470">
        <v>1</v>
      </c>
    </row>
    <row r="471" spans="1:9" x14ac:dyDescent="0.3">
      <c r="A471">
        <v>6</v>
      </c>
      <c r="B471">
        <v>154</v>
      </c>
      <c r="C471">
        <v>78</v>
      </c>
      <c r="D471">
        <v>41</v>
      </c>
      <c r="E471">
        <v>140</v>
      </c>
      <c r="F471">
        <v>46.1</v>
      </c>
      <c r="G471">
        <v>0.57099999999999995</v>
      </c>
      <c r="H471">
        <v>27</v>
      </c>
      <c r="I471">
        <v>0</v>
      </c>
    </row>
    <row r="472" spans="1:9" x14ac:dyDescent="0.3">
      <c r="A472">
        <v>1</v>
      </c>
      <c r="B472">
        <v>144</v>
      </c>
      <c r="C472">
        <v>82</v>
      </c>
      <c r="D472">
        <v>40</v>
      </c>
      <c r="E472">
        <v>0</v>
      </c>
      <c r="F472">
        <v>41.3</v>
      </c>
      <c r="G472">
        <v>0.60699999999999998</v>
      </c>
      <c r="H472">
        <v>28</v>
      </c>
      <c r="I472">
        <v>0</v>
      </c>
    </row>
    <row r="473" spans="1:9" x14ac:dyDescent="0.3">
      <c r="A473">
        <v>0</v>
      </c>
      <c r="B473">
        <v>137</v>
      </c>
      <c r="C473">
        <v>70</v>
      </c>
      <c r="D473">
        <v>38</v>
      </c>
      <c r="E473">
        <v>0</v>
      </c>
      <c r="F473">
        <v>33.200000000000003</v>
      </c>
      <c r="G473">
        <v>0.17</v>
      </c>
      <c r="H473">
        <v>22</v>
      </c>
      <c r="I473">
        <v>0</v>
      </c>
    </row>
    <row r="474" spans="1:9" x14ac:dyDescent="0.3">
      <c r="A474">
        <v>0</v>
      </c>
      <c r="B474">
        <v>119</v>
      </c>
      <c r="C474">
        <v>66</v>
      </c>
      <c r="D474">
        <v>27</v>
      </c>
      <c r="E474">
        <v>0</v>
      </c>
      <c r="F474">
        <v>38.799999999999997</v>
      </c>
      <c r="G474">
        <v>0.25900000000000001</v>
      </c>
      <c r="H474">
        <v>22</v>
      </c>
      <c r="I474">
        <v>0</v>
      </c>
    </row>
    <row r="475" spans="1:9" x14ac:dyDescent="0.3">
      <c r="A475">
        <v>7</v>
      </c>
      <c r="B475">
        <v>136</v>
      </c>
      <c r="C475">
        <v>90</v>
      </c>
      <c r="D475">
        <v>0</v>
      </c>
      <c r="E475">
        <v>0</v>
      </c>
      <c r="F475">
        <v>29.9</v>
      </c>
      <c r="G475">
        <v>0.21</v>
      </c>
      <c r="H475">
        <v>50</v>
      </c>
      <c r="I475">
        <v>0</v>
      </c>
    </row>
    <row r="476" spans="1:9" x14ac:dyDescent="0.3">
      <c r="A476">
        <v>4</v>
      </c>
      <c r="B476">
        <v>114</v>
      </c>
      <c r="C476">
        <v>64</v>
      </c>
      <c r="D476">
        <v>0</v>
      </c>
      <c r="E476">
        <v>0</v>
      </c>
      <c r="F476">
        <v>28.9</v>
      </c>
      <c r="G476">
        <v>0.126</v>
      </c>
      <c r="H476">
        <v>24</v>
      </c>
      <c r="I476">
        <v>0</v>
      </c>
    </row>
    <row r="477" spans="1:9" x14ac:dyDescent="0.3">
      <c r="A477">
        <v>0</v>
      </c>
      <c r="B477">
        <v>137</v>
      </c>
      <c r="C477">
        <v>84</v>
      </c>
      <c r="D477">
        <v>27</v>
      </c>
      <c r="E477">
        <v>0</v>
      </c>
      <c r="F477">
        <v>27.3</v>
      </c>
      <c r="G477">
        <v>0.23100000000000001</v>
      </c>
      <c r="H477">
        <v>59</v>
      </c>
      <c r="I477">
        <v>0</v>
      </c>
    </row>
    <row r="478" spans="1:9" x14ac:dyDescent="0.3">
      <c r="A478">
        <v>2</v>
      </c>
      <c r="B478">
        <v>105</v>
      </c>
      <c r="C478">
        <v>80</v>
      </c>
      <c r="D478">
        <v>45</v>
      </c>
      <c r="E478">
        <v>191</v>
      </c>
      <c r="F478">
        <v>33.700000000000003</v>
      </c>
      <c r="G478">
        <v>0.71099999999999997</v>
      </c>
      <c r="H478">
        <v>29</v>
      </c>
      <c r="I478">
        <v>1</v>
      </c>
    </row>
    <row r="479" spans="1:9" x14ac:dyDescent="0.3">
      <c r="A479">
        <v>7</v>
      </c>
      <c r="B479">
        <v>114</v>
      </c>
      <c r="C479">
        <v>76</v>
      </c>
      <c r="D479">
        <v>17</v>
      </c>
      <c r="E479">
        <v>110</v>
      </c>
      <c r="F479">
        <v>23.8</v>
      </c>
      <c r="G479">
        <v>0.46600000000000003</v>
      </c>
      <c r="H479">
        <v>31</v>
      </c>
      <c r="I479">
        <v>0</v>
      </c>
    </row>
    <row r="480" spans="1:9" x14ac:dyDescent="0.3">
      <c r="A480">
        <v>8</v>
      </c>
      <c r="B480">
        <v>126</v>
      </c>
      <c r="C480">
        <v>74</v>
      </c>
      <c r="D480">
        <v>38</v>
      </c>
      <c r="E480">
        <v>75</v>
      </c>
      <c r="F480">
        <v>25.9</v>
      </c>
      <c r="G480">
        <v>0.16200000000000001</v>
      </c>
      <c r="H480">
        <v>39</v>
      </c>
      <c r="I480">
        <v>0</v>
      </c>
    </row>
    <row r="481" spans="1:9" x14ac:dyDescent="0.3">
      <c r="A481">
        <v>4</v>
      </c>
      <c r="B481">
        <v>132</v>
      </c>
      <c r="C481">
        <v>86</v>
      </c>
      <c r="D481">
        <v>31</v>
      </c>
      <c r="E481">
        <v>0</v>
      </c>
      <c r="F481">
        <v>28</v>
      </c>
      <c r="G481">
        <v>0.41899999999999998</v>
      </c>
      <c r="H481">
        <v>63</v>
      </c>
      <c r="I481">
        <v>0</v>
      </c>
    </row>
    <row r="482" spans="1:9" x14ac:dyDescent="0.3">
      <c r="A482">
        <v>3</v>
      </c>
      <c r="B482">
        <v>158</v>
      </c>
      <c r="C482">
        <v>70</v>
      </c>
      <c r="D482">
        <v>30</v>
      </c>
      <c r="E482">
        <v>328</v>
      </c>
      <c r="F482">
        <v>35.5</v>
      </c>
      <c r="G482">
        <v>0.34399999999999997</v>
      </c>
      <c r="H482">
        <v>35</v>
      </c>
      <c r="I482">
        <v>1</v>
      </c>
    </row>
    <row r="483" spans="1:9" x14ac:dyDescent="0.3">
      <c r="A483">
        <v>0</v>
      </c>
      <c r="B483">
        <v>123</v>
      </c>
      <c r="C483">
        <v>88</v>
      </c>
      <c r="D483">
        <v>37</v>
      </c>
      <c r="E483">
        <v>0</v>
      </c>
      <c r="F483">
        <v>35.200000000000003</v>
      </c>
      <c r="G483">
        <v>0.19700000000000001</v>
      </c>
      <c r="H483">
        <v>29</v>
      </c>
      <c r="I483">
        <v>0</v>
      </c>
    </row>
    <row r="484" spans="1:9" x14ac:dyDescent="0.3">
      <c r="A484">
        <v>4</v>
      </c>
      <c r="B484">
        <v>85</v>
      </c>
      <c r="C484">
        <v>58</v>
      </c>
      <c r="D484">
        <v>22</v>
      </c>
      <c r="E484">
        <v>49</v>
      </c>
      <c r="F484">
        <v>27.8</v>
      </c>
      <c r="G484">
        <v>0.30599999999999999</v>
      </c>
      <c r="H484">
        <v>28</v>
      </c>
      <c r="I484">
        <v>0</v>
      </c>
    </row>
    <row r="485" spans="1:9" x14ac:dyDescent="0.3">
      <c r="A485">
        <v>0</v>
      </c>
      <c r="B485">
        <v>84</v>
      </c>
      <c r="C485">
        <v>82</v>
      </c>
      <c r="D485">
        <v>31</v>
      </c>
      <c r="E485">
        <v>125</v>
      </c>
      <c r="F485">
        <v>38.200000000000003</v>
      </c>
      <c r="G485">
        <v>0.23300000000000001</v>
      </c>
      <c r="H485">
        <v>23</v>
      </c>
      <c r="I485">
        <v>0</v>
      </c>
    </row>
    <row r="486" spans="1:9" x14ac:dyDescent="0.3">
      <c r="A486">
        <v>0</v>
      </c>
      <c r="B486">
        <v>145</v>
      </c>
      <c r="C486">
        <v>0</v>
      </c>
      <c r="D486">
        <v>0</v>
      </c>
      <c r="E486">
        <v>0</v>
      </c>
      <c r="F486">
        <v>44.2</v>
      </c>
      <c r="G486">
        <v>0.63</v>
      </c>
      <c r="H486">
        <v>31</v>
      </c>
      <c r="I486">
        <v>1</v>
      </c>
    </row>
    <row r="487" spans="1:9" x14ac:dyDescent="0.3">
      <c r="A487">
        <v>0</v>
      </c>
      <c r="B487">
        <v>135</v>
      </c>
      <c r="C487">
        <v>68</v>
      </c>
      <c r="D487">
        <v>42</v>
      </c>
      <c r="E487">
        <v>250</v>
      </c>
      <c r="F487">
        <v>42.3</v>
      </c>
      <c r="G487">
        <v>0.36499999999999999</v>
      </c>
      <c r="H487">
        <v>24</v>
      </c>
      <c r="I487">
        <v>1</v>
      </c>
    </row>
    <row r="488" spans="1:9" x14ac:dyDescent="0.3">
      <c r="A488">
        <v>1</v>
      </c>
      <c r="B488">
        <v>139</v>
      </c>
      <c r="C488">
        <v>62</v>
      </c>
      <c r="D488">
        <v>41</v>
      </c>
      <c r="E488">
        <v>480</v>
      </c>
      <c r="F488">
        <v>40.700000000000003</v>
      </c>
      <c r="G488">
        <v>0.53600000000000003</v>
      </c>
      <c r="H488">
        <v>21</v>
      </c>
      <c r="I488">
        <v>0</v>
      </c>
    </row>
    <row r="489" spans="1:9" x14ac:dyDescent="0.3">
      <c r="A489">
        <v>0</v>
      </c>
      <c r="B489">
        <v>173</v>
      </c>
      <c r="C489">
        <v>78</v>
      </c>
      <c r="D489">
        <v>32</v>
      </c>
      <c r="E489">
        <v>265</v>
      </c>
      <c r="F489">
        <v>46.5</v>
      </c>
      <c r="G489">
        <v>1.159</v>
      </c>
      <c r="H489">
        <v>58</v>
      </c>
      <c r="I489">
        <v>0</v>
      </c>
    </row>
    <row r="490" spans="1:9" x14ac:dyDescent="0.3">
      <c r="A490">
        <v>4</v>
      </c>
      <c r="B490">
        <v>99</v>
      </c>
      <c r="C490">
        <v>72</v>
      </c>
      <c r="D490">
        <v>17</v>
      </c>
      <c r="E490">
        <v>0</v>
      </c>
      <c r="F490">
        <v>25.6</v>
      </c>
      <c r="G490">
        <v>0.29399999999999998</v>
      </c>
      <c r="H490">
        <v>28</v>
      </c>
      <c r="I490">
        <v>0</v>
      </c>
    </row>
    <row r="491" spans="1:9" x14ac:dyDescent="0.3">
      <c r="A491">
        <v>8</v>
      </c>
      <c r="B491">
        <v>194</v>
      </c>
      <c r="C491">
        <v>80</v>
      </c>
      <c r="D491">
        <v>0</v>
      </c>
      <c r="E491">
        <v>0</v>
      </c>
      <c r="F491">
        <v>26.1</v>
      </c>
      <c r="G491">
        <v>0.55100000000000005</v>
      </c>
      <c r="H491">
        <v>67</v>
      </c>
      <c r="I491">
        <v>0</v>
      </c>
    </row>
    <row r="492" spans="1:9" x14ac:dyDescent="0.3">
      <c r="A492">
        <v>2</v>
      </c>
      <c r="B492">
        <v>83</v>
      </c>
      <c r="C492">
        <v>65</v>
      </c>
      <c r="D492">
        <v>28</v>
      </c>
      <c r="E492">
        <v>66</v>
      </c>
      <c r="F492">
        <v>36.799999999999997</v>
      </c>
      <c r="G492">
        <v>0.629</v>
      </c>
      <c r="H492">
        <v>24</v>
      </c>
      <c r="I492">
        <v>0</v>
      </c>
    </row>
    <row r="493" spans="1:9" x14ac:dyDescent="0.3">
      <c r="A493">
        <v>2</v>
      </c>
      <c r="B493">
        <v>89</v>
      </c>
      <c r="C493">
        <v>90</v>
      </c>
      <c r="D493">
        <v>30</v>
      </c>
      <c r="E493">
        <v>0</v>
      </c>
      <c r="F493">
        <v>33.5</v>
      </c>
      <c r="G493">
        <v>0.29199999999999998</v>
      </c>
      <c r="H493">
        <v>42</v>
      </c>
      <c r="I493">
        <v>0</v>
      </c>
    </row>
    <row r="494" spans="1:9" x14ac:dyDescent="0.3">
      <c r="A494">
        <v>4</v>
      </c>
      <c r="B494">
        <v>99</v>
      </c>
      <c r="C494">
        <v>68</v>
      </c>
      <c r="D494">
        <v>38</v>
      </c>
      <c r="E494">
        <v>0</v>
      </c>
      <c r="F494">
        <v>32.799999999999997</v>
      </c>
      <c r="G494">
        <v>0.14499999999999999</v>
      </c>
      <c r="H494">
        <v>33</v>
      </c>
      <c r="I494">
        <v>0</v>
      </c>
    </row>
    <row r="495" spans="1:9" x14ac:dyDescent="0.3">
      <c r="A495">
        <v>4</v>
      </c>
      <c r="B495">
        <v>125</v>
      </c>
      <c r="C495">
        <v>70</v>
      </c>
      <c r="D495">
        <v>18</v>
      </c>
      <c r="E495">
        <v>122</v>
      </c>
      <c r="F495">
        <v>28.9</v>
      </c>
      <c r="G495">
        <v>1.1439999999999999</v>
      </c>
      <c r="H495">
        <v>45</v>
      </c>
      <c r="I495">
        <v>1</v>
      </c>
    </row>
    <row r="496" spans="1:9" x14ac:dyDescent="0.3">
      <c r="A496">
        <v>3</v>
      </c>
      <c r="B496">
        <v>80</v>
      </c>
      <c r="C496">
        <v>0</v>
      </c>
      <c r="D496">
        <v>0</v>
      </c>
      <c r="E496">
        <v>0</v>
      </c>
      <c r="F496">
        <v>0</v>
      </c>
      <c r="G496">
        <v>0.17399999999999999</v>
      </c>
      <c r="H496">
        <v>22</v>
      </c>
      <c r="I496">
        <v>0</v>
      </c>
    </row>
    <row r="497" spans="1:9" x14ac:dyDescent="0.3">
      <c r="A497">
        <v>6</v>
      </c>
      <c r="B497">
        <v>166</v>
      </c>
      <c r="C497">
        <v>74</v>
      </c>
      <c r="D497">
        <v>0</v>
      </c>
      <c r="E497">
        <v>0</v>
      </c>
      <c r="F497">
        <v>26.6</v>
      </c>
      <c r="G497">
        <v>0.30399999999999999</v>
      </c>
      <c r="H497">
        <v>66</v>
      </c>
      <c r="I497">
        <v>0</v>
      </c>
    </row>
    <row r="498" spans="1:9" x14ac:dyDescent="0.3">
      <c r="A498">
        <v>5</v>
      </c>
      <c r="B498">
        <v>110</v>
      </c>
      <c r="C498">
        <v>68</v>
      </c>
      <c r="D498">
        <v>0</v>
      </c>
      <c r="E498">
        <v>0</v>
      </c>
      <c r="F498">
        <v>26</v>
      </c>
      <c r="G498">
        <v>0.29199999999999998</v>
      </c>
      <c r="H498">
        <v>30</v>
      </c>
      <c r="I498">
        <v>0</v>
      </c>
    </row>
    <row r="499" spans="1:9" x14ac:dyDescent="0.3">
      <c r="A499">
        <v>2</v>
      </c>
      <c r="B499">
        <v>81</v>
      </c>
      <c r="C499">
        <v>72</v>
      </c>
      <c r="D499">
        <v>15</v>
      </c>
      <c r="E499">
        <v>76</v>
      </c>
      <c r="F499">
        <v>30.1</v>
      </c>
      <c r="G499">
        <v>0.54700000000000004</v>
      </c>
      <c r="H499">
        <v>25</v>
      </c>
      <c r="I499">
        <v>0</v>
      </c>
    </row>
    <row r="500" spans="1:9" x14ac:dyDescent="0.3">
      <c r="A500">
        <v>7</v>
      </c>
      <c r="B500">
        <v>195</v>
      </c>
      <c r="C500">
        <v>70</v>
      </c>
      <c r="D500">
        <v>33</v>
      </c>
      <c r="E500">
        <v>145</v>
      </c>
      <c r="F500">
        <v>25.1</v>
      </c>
      <c r="G500">
        <v>0.16300000000000001</v>
      </c>
      <c r="H500">
        <v>55</v>
      </c>
      <c r="I500">
        <v>1</v>
      </c>
    </row>
    <row r="501" spans="1:9" x14ac:dyDescent="0.3">
      <c r="A501">
        <v>6</v>
      </c>
      <c r="B501">
        <v>154</v>
      </c>
      <c r="C501">
        <v>74</v>
      </c>
      <c r="D501">
        <v>32</v>
      </c>
      <c r="E501">
        <v>193</v>
      </c>
      <c r="F501">
        <v>29.3</v>
      </c>
      <c r="G501">
        <v>0.83899999999999997</v>
      </c>
      <c r="H501">
        <v>39</v>
      </c>
      <c r="I501">
        <v>0</v>
      </c>
    </row>
    <row r="502" spans="1:9" x14ac:dyDescent="0.3">
      <c r="A502">
        <v>2</v>
      </c>
      <c r="B502">
        <v>117</v>
      </c>
      <c r="C502">
        <v>90</v>
      </c>
      <c r="D502">
        <v>19</v>
      </c>
      <c r="E502">
        <v>71</v>
      </c>
      <c r="F502">
        <v>25.2</v>
      </c>
      <c r="G502">
        <v>0.313</v>
      </c>
      <c r="H502">
        <v>21</v>
      </c>
      <c r="I502">
        <v>0</v>
      </c>
    </row>
    <row r="503" spans="1:9" x14ac:dyDescent="0.3">
      <c r="A503">
        <v>3</v>
      </c>
      <c r="B503">
        <v>84</v>
      </c>
      <c r="C503">
        <v>72</v>
      </c>
      <c r="D503">
        <v>32</v>
      </c>
      <c r="E503">
        <v>0</v>
      </c>
      <c r="F503">
        <v>37.200000000000003</v>
      </c>
      <c r="G503">
        <v>0.26700000000000002</v>
      </c>
      <c r="H503">
        <v>28</v>
      </c>
      <c r="I503">
        <v>0</v>
      </c>
    </row>
    <row r="504" spans="1:9" x14ac:dyDescent="0.3">
      <c r="A504">
        <v>6</v>
      </c>
      <c r="B504">
        <v>0</v>
      </c>
      <c r="C504">
        <v>68</v>
      </c>
      <c r="D504">
        <v>41</v>
      </c>
      <c r="E504">
        <v>0</v>
      </c>
      <c r="F504">
        <v>39</v>
      </c>
      <c r="G504">
        <v>0.72699999999999998</v>
      </c>
      <c r="H504">
        <v>41</v>
      </c>
      <c r="I504">
        <v>1</v>
      </c>
    </row>
    <row r="505" spans="1:9" x14ac:dyDescent="0.3">
      <c r="A505">
        <v>7</v>
      </c>
      <c r="B505">
        <v>94</v>
      </c>
      <c r="C505">
        <v>64</v>
      </c>
      <c r="D505">
        <v>25</v>
      </c>
      <c r="E505">
        <v>79</v>
      </c>
      <c r="F505">
        <v>33.299999999999997</v>
      </c>
      <c r="G505">
        <v>0.73799999999999999</v>
      </c>
      <c r="H505">
        <v>41</v>
      </c>
      <c r="I505">
        <v>0</v>
      </c>
    </row>
    <row r="506" spans="1:9" x14ac:dyDescent="0.3">
      <c r="A506">
        <v>3</v>
      </c>
      <c r="B506">
        <v>96</v>
      </c>
      <c r="C506">
        <v>78</v>
      </c>
      <c r="D506">
        <v>39</v>
      </c>
      <c r="E506">
        <v>0</v>
      </c>
      <c r="F506">
        <v>37.299999999999997</v>
      </c>
      <c r="G506">
        <v>0.23799999999999999</v>
      </c>
      <c r="H506">
        <v>40</v>
      </c>
      <c r="I506">
        <v>0</v>
      </c>
    </row>
    <row r="507" spans="1:9" x14ac:dyDescent="0.3">
      <c r="A507">
        <v>10</v>
      </c>
      <c r="B507">
        <v>75</v>
      </c>
      <c r="C507">
        <v>82</v>
      </c>
      <c r="D507">
        <v>0</v>
      </c>
      <c r="E507">
        <v>0</v>
      </c>
      <c r="F507">
        <v>33.299999999999997</v>
      </c>
      <c r="G507">
        <v>0.26300000000000001</v>
      </c>
      <c r="H507">
        <v>38</v>
      </c>
      <c r="I507">
        <v>0</v>
      </c>
    </row>
    <row r="508" spans="1:9" x14ac:dyDescent="0.3">
      <c r="A508">
        <v>0</v>
      </c>
      <c r="B508">
        <v>180</v>
      </c>
      <c r="C508">
        <v>90</v>
      </c>
      <c r="D508">
        <v>26</v>
      </c>
      <c r="E508">
        <v>90</v>
      </c>
      <c r="F508">
        <v>36.5</v>
      </c>
      <c r="G508">
        <v>0.314</v>
      </c>
      <c r="H508">
        <v>35</v>
      </c>
      <c r="I508">
        <v>1</v>
      </c>
    </row>
    <row r="509" spans="1:9" x14ac:dyDescent="0.3">
      <c r="A509">
        <v>1</v>
      </c>
      <c r="B509">
        <v>130</v>
      </c>
      <c r="C509">
        <v>60</v>
      </c>
      <c r="D509">
        <v>23</v>
      </c>
      <c r="E509">
        <v>170</v>
      </c>
      <c r="F509">
        <v>28.6</v>
      </c>
      <c r="G509">
        <v>0.69199999999999995</v>
      </c>
      <c r="H509">
        <v>21</v>
      </c>
      <c r="I509">
        <v>0</v>
      </c>
    </row>
    <row r="510" spans="1:9" x14ac:dyDescent="0.3">
      <c r="A510">
        <v>2</v>
      </c>
      <c r="B510">
        <v>84</v>
      </c>
      <c r="C510">
        <v>50</v>
      </c>
      <c r="D510">
        <v>23</v>
      </c>
      <c r="E510">
        <v>76</v>
      </c>
      <c r="F510">
        <v>30.4</v>
      </c>
      <c r="G510">
        <v>0.96799999999999997</v>
      </c>
      <c r="H510">
        <v>21</v>
      </c>
      <c r="I510">
        <v>0</v>
      </c>
    </row>
    <row r="511" spans="1:9" x14ac:dyDescent="0.3">
      <c r="A511">
        <v>8</v>
      </c>
      <c r="B511">
        <v>120</v>
      </c>
      <c r="C511">
        <v>78</v>
      </c>
      <c r="D511">
        <v>0</v>
      </c>
      <c r="E511">
        <v>0</v>
      </c>
      <c r="F511">
        <v>25</v>
      </c>
      <c r="G511">
        <v>0.40899999999999997</v>
      </c>
      <c r="H511">
        <v>64</v>
      </c>
      <c r="I511">
        <v>0</v>
      </c>
    </row>
    <row r="512" spans="1:9" x14ac:dyDescent="0.3">
      <c r="A512">
        <v>12</v>
      </c>
      <c r="B512">
        <v>84</v>
      </c>
      <c r="C512">
        <v>72</v>
      </c>
      <c r="D512">
        <v>31</v>
      </c>
      <c r="E512">
        <v>0</v>
      </c>
      <c r="F512">
        <v>29.7</v>
      </c>
      <c r="G512">
        <v>0.29699999999999999</v>
      </c>
      <c r="H512">
        <v>46</v>
      </c>
      <c r="I512">
        <v>1</v>
      </c>
    </row>
    <row r="513" spans="1:9" x14ac:dyDescent="0.3">
      <c r="A513">
        <v>0</v>
      </c>
      <c r="B513">
        <v>139</v>
      </c>
      <c r="C513">
        <v>62</v>
      </c>
      <c r="D513">
        <v>17</v>
      </c>
      <c r="E513">
        <v>210</v>
      </c>
      <c r="F513">
        <v>22.1</v>
      </c>
      <c r="G513">
        <v>0.20699999999999999</v>
      </c>
      <c r="H513">
        <v>21</v>
      </c>
      <c r="I513">
        <v>0</v>
      </c>
    </row>
    <row r="514" spans="1:9" x14ac:dyDescent="0.3">
      <c r="A514">
        <v>9</v>
      </c>
      <c r="B514">
        <v>91</v>
      </c>
      <c r="C514">
        <v>68</v>
      </c>
      <c r="D514">
        <v>0</v>
      </c>
      <c r="E514">
        <v>0</v>
      </c>
      <c r="F514">
        <v>24.2</v>
      </c>
      <c r="G514">
        <v>0.2</v>
      </c>
      <c r="H514">
        <v>58</v>
      </c>
      <c r="I514">
        <v>0</v>
      </c>
    </row>
    <row r="515" spans="1:9" x14ac:dyDescent="0.3">
      <c r="A515">
        <v>2</v>
      </c>
      <c r="B515">
        <v>91</v>
      </c>
      <c r="C515">
        <v>62</v>
      </c>
      <c r="D515">
        <v>0</v>
      </c>
      <c r="E515">
        <v>0</v>
      </c>
      <c r="F515">
        <v>27.3</v>
      </c>
      <c r="G515">
        <v>0.52500000000000002</v>
      </c>
      <c r="H515">
        <v>22</v>
      </c>
      <c r="I515">
        <v>0</v>
      </c>
    </row>
    <row r="516" spans="1:9" x14ac:dyDescent="0.3">
      <c r="A516">
        <v>3</v>
      </c>
      <c r="B516">
        <v>99</v>
      </c>
      <c r="C516">
        <v>54</v>
      </c>
      <c r="D516">
        <v>19</v>
      </c>
      <c r="E516">
        <v>86</v>
      </c>
      <c r="F516">
        <v>25.6</v>
      </c>
      <c r="G516">
        <v>0.154</v>
      </c>
      <c r="H516">
        <v>24</v>
      </c>
      <c r="I516">
        <v>0</v>
      </c>
    </row>
    <row r="517" spans="1:9" x14ac:dyDescent="0.3">
      <c r="A517">
        <v>3</v>
      </c>
      <c r="B517">
        <v>163</v>
      </c>
      <c r="C517">
        <v>70</v>
      </c>
      <c r="D517">
        <v>18</v>
      </c>
      <c r="E517">
        <v>105</v>
      </c>
      <c r="F517">
        <v>31.6</v>
      </c>
      <c r="G517">
        <v>0.26800000000000002</v>
      </c>
      <c r="H517">
        <v>28</v>
      </c>
      <c r="I517">
        <v>1</v>
      </c>
    </row>
    <row r="518" spans="1:9" x14ac:dyDescent="0.3">
      <c r="A518">
        <v>9</v>
      </c>
      <c r="B518">
        <v>145</v>
      </c>
      <c r="C518">
        <v>88</v>
      </c>
      <c r="D518">
        <v>34</v>
      </c>
      <c r="E518">
        <v>165</v>
      </c>
      <c r="F518">
        <v>30.3</v>
      </c>
      <c r="G518">
        <v>0.77100000000000002</v>
      </c>
      <c r="H518">
        <v>53</v>
      </c>
      <c r="I518">
        <v>1</v>
      </c>
    </row>
    <row r="519" spans="1:9" x14ac:dyDescent="0.3">
      <c r="A519">
        <v>7</v>
      </c>
      <c r="B519">
        <v>125</v>
      </c>
      <c r="C519">
        <v>86</v>
      </c>
      <c r="D519">
        <v>0</v>
      </c>
      <c r="E519">
        <v>0</v>
      </c>
      <c r="F519">
        <v>37.6</v>
      </c>
      <c r="G519">
        <v>0.30399999999999999</v>
      </c>
      <c r="H519">
        <v>51</v>
      </c>
      <c r="I519">
        <v>0</v>
      </c>
    </row>
    <row r="520" spans="1:9" x14ac:dyDescent="0.3">
      <c r="A520">
        <v>13</v>
      </c>
      <c r="B520">
        <v>76</v>
      </c>
      <c r="C520">
        <v>60</v>
      </c>
      <c r="D520">
        <v>0</v>
      </c>
      <c r="E520">
        <v>0</v>
      </c>
      <c r="F520">
        <v>32.799999999999997</v>
      </c>
      <c r="G520">
        <v>0.18</v>
      </c>
      <c r="H520">
        <v>41</v>
      </c>
      <c r="I520">
        <v>0</v>
      </c>
    </row>
    <row r="521" spans="1:9" x14ac:dyDescent="0.3">
      <c r="A521">
        <v>6</v>
      </c>
      <c r="B521">
        <v>129</v>
      </c>
      <c r="C521">
        <v>90</v>
      </c>
      <c r="D521">
        <v>7</v>
      </c>
      <c r="E521">
        <v>326</v>
      </c>
      <c r="F521">
        <v>19.600000000000001</v>
      </c>
      <c r="G521">
        <v>0.58199999999999996</v>
      </c>
      <c r="H521">
        <v>60</v>
      </c>
      <c r="I521">
        <v>0</v>
      </c>
    </row>
    <row r="522" spans="1:9" x14ac:dyDescent="0.3">
      <c r="A522">
        <v>2</v>
      </c>
      <c r="B522">
        <v>68</v>
      </c>
      <c r="C522">
        <v>70</v>
      </c>
      <c r="D522">
        <v>32</v>
      </c>
      <c r="E522">
        <v>66</v>
      </c>
      <c r="F522">
        <v>25</v>
      </c>
      <c r="G522">
        <v>0.187</v>
      </c>
      <c r="H522">
        <v>25</v>
      </c>
      <c r="I522">
        <v>0</v>
      </c>
    </row>
    <row r="523" spans="1:9" x14ac:dyDescent="0.3">
      <c r="A523">
        <v>3</v>
      </c>
      <c r="B523">
        <v>124</v>
      </c>
      <c r="C523">
        <v>80</v>
      </c>
      <c r="D523">
        <v>33</v>
      </c>
      <c r="E523">
        <v>130</v>
      </c>
      <c r="F523">
        <v>33.200000000000003</v>
      </c>
      <c r="G523">
        <v>0.30499999999999999</v>
      </c>
      <c r="H523">
        <v>26</v>
      </c>
      <c r="I523">
        <v>0</v>
      </c>
    </row>
    <row r="524" spans="1:9" x14ac:dyDescent="0.3">
      <c r="A524">
        <v>6</v>
      </c>
      <c r="B524">
        <v>114</v>
      </c>
      <c r="C524">
        <v>0</v>
      </c>
      <c r="D524">
        <v>0</v>
      </c>
      <c r="E524">
        <v>0</v>
      </c>
      <c r="F524">
        <v>0</v>
      </c>
      <c r="G524">
        <v>0.189</v>
      </c>
      <c r="H524">
        <v>26</v>
      </c>
      <c r="I524">
        <v>0</v>
      </c>
    </row>
    <row r="525" spans="1:9" x14ac:dyDescent="0.3">
      <c r="A525">
        <v>9</v>
      </c>
      <c r="B525">
        <v>130</v>
      </c>
      <c r="C525">
        <v>70</v>
      </c>
      <c r="D525">
        <v>0</v>
      </c>
      <c r="E525">
        <v>0</v>
      </c>
      <c r="F525">
        <v>34.200000000000003</v>
      </c>
      <c r="G525">
        <v>0.65200000000000002</v>
      </c>
      <c r="H525">
        <v>45</v>
      </c>
      <c r="I525">
        <v>1</v>
      </c>
    </row>
    <row r="526" spans="1:9" x14ac:dyDescent="0.3">
      <c r="A526">
        <v>3</v>
      </c>
      <c r="B526">
        <v>125</v>
      </c>
      <c r="C526">
        <v>58</v>
      </c>
      <c r="D526">
        <v>0</v>
      </c>
      <c r="E526">
        <v>0</v>
      </c>
      <c r="F526">
        <v>31.6</v>
      </c>
      <c r="G526">
        <v>0.151</v>
      </c>
      <c r="H526">
        <v>24</v>
      </c>
      <c r="I526">
        <v>0</v>
      </c>
    </row>
    <row r="527" spans="1:9" x14ac:dyDescent="0.3">
      <c r="A527">
        <v>3</v>
      </c>
      <c r="B527">
        <v>87</v>
      </c>
      <c r="C527">
        <v>60</v>
      </c>
      <c r="D527">
        <v>18</v>
      </c>
      <c r="E527">
        <v>0</v>
      </c>
      <c r="F527">
        <v>21.8</v>
      </c>
      <c r="G527">
        <v>0.44400000000000001</v>
      </c>
      <c r="H527">
        <v>21</v>
      </c>
      <c r="I527">
        <v>0</v>
      </c>
    </row>
    <row r="528" spans="1:9" x14ac:dyDescent="0.3">
      <c r="A528">
        <v>1</v>
      </c>
      <c r="B528">
        <v>97</v>
      </c>
      <c r="C528">
        <v>64</v>
      </c>
      <c r="D528">
        <v>19</v>
      </c>
      <c r="E528">
        <v>82</v>
      </c>
      <c r="F528">
        <v>18.2</v>
      </c>
      <c r="G528">
        <v>0.29899999999999999</v>
      </c>
      <c r="H528">
        <v>21</v>
      </c>
      <c r="I528">
        <v>0</v>
      </c>
    </row>
    <row r="529" spans="1:9" x14ac:dyDescent="0.3">
      <c r="A529">
        <v>3</v>
      </c>
      <c r="B529">
        <v>116</v>
      </c>
      <c r="C529">
        <v>74</v>
      </c>
      <c r="D529">
        <v>15</v>
      </c>
      <c r="E529">
        <v>105</v>
      </c>
      <c r="F529">
        <v>26.3</v>
      </c>
      <c r="G529">
        <v>0.107</v>
      </c>
      <c r="H529">
        <v>24</v>
      </c>
      <c r="I529">
        <v>0</v>
      </c>
    </row>
    <row r="530" spans="1:9" x14ac:dyDescent="0.3">
      <c r="A530">
        <v>0</v>
      </c>
      <c r="B530">
        <v>117</v>
      </c>
      <c r="C530">
        <v>66</v>
      </c>
      <c r="D530">
        <v>31</v>
      </c>
      <c r="E530">
        <v>188</v>
      </c>
      <c r="F530">
        <v>30.8</v>
      </c>
      <c r="G530">
        <v>0.49299999999999999</v>
      </c>
      <c r="H530">
        <v>22</v>
      </c>
      <c r="I530">
        <v>0</v>
      </c>
    </row>
    <row r="531" spans="1:9" x14ac:dyDescent="0.3">
      <c r="A531">
        <v>0</v>
      </c>
      <c r="B531">
        <v>111</v>
      </c>
      <c r="C531">
        <v>65</v>
      </c>
      <c r="D531">
        <v>0</v>
      </c>
      <c r="E531">
        <v>0</v>
      </c>
      <c r="F531">
        <v>24.6</v>
      </c>
      <c r="G531">
        <v>0.66</v>
      </c>
      <c r="H531">
        <v>31</v>
      </c>
      <c r="I531">
        <v>0</v>
      </c>
    </row>
    <row r="532" spans="1:9" x14ac:dyDescent="0.3">
      <c r="A532">
        <v>2</v>
      </c>
      <c r="B532">
        <v>122</v>
      </c>
      <c r="C532">
        <v>60</v>
      </c>
      <c r="D532">
        <v>18</v>
      </c>
      <c r="E532">
        <v>106</v>
      </c>
      <c r="F532">
        <v>29.8</v>
      </c>
      <c r="G532">
        <v>0.71699999999999997</v>
      </c>
      <c r="H532">
        <v>22</v>
      </c>
      <c r="I532">
        <v>0</v>
      </c>
    </row>
    <row r="533" spans="1:9" x14ac:dyDescent="0.3">
      <c r="A533">
        <v>0</v>
      </c>
      <c r="B533">
        <v>107</v>
      </c>
      <c r="C533">
        <v>76</v>
      </c>
      <c r="D533">
        <v>0</v>
      </c>
      <c r="E533">
        <v>0</v>
      </c>
      <c r="F533">
        <v>45.3</v>
      </c>
      <c r="G533">
        <v>0.68600000000000005</v>
      </c>
      <c r="H533">
        <v>24</v>
      </c>
      <c r="I533">
        <v>0</v>
      </c>
    </row>
    <row r="534" spans="1:9" x14ac:dyDescent="0.3">
      <c r="A534">
        <v>1</v>
      </c>
      <c r="B534">
        <v>86</v>
      </c>
      <c r="C534">
        <v>66</v>
      </c>
      <c r="D534">
        <v>52</v>
      </c>
      <c r="E534">
        <v>65</v>
      </c>
      <c r="F534">
        <v>41.3</v>
      </c>
      <c r="G534">
        <v>0.91700000000000004</v>
      </c>
      <c r="H534">
        <v>29</v>
      </c>
      <c r="I534">
        <v>0</v>
      </c>
    </row>
    <row r="535" spans="1:9" x14ac:dyDescent="0.3">
      <c r="A535">
        <v>6</v>
      </c>
      <c r="B535">
        <v>91</v>
      </c>
      <c r="C535">
        <v>0</v>
      </c>
      <c r="D535">
        <v>0</v>
      </c>
      <c r="E535">
        <v>0</v>
      </c>
      <c r="F535">
        <v>29.8</v>
      </c>
      <c r="G535">
        <v>0.501</v>
      </c>
      <c r="H535">
        <v>31</v>
      </c>
      <c r="I535">
        <v>0</v>
      </c>
    </row>
    <row r="536" spans="1:9" x14ac:dyDescent="0.3">
      <c r="A536">
        <v>1</v>
      </c>
      <c r="B536">
        <v>77</v>
      </c>
      <c r="C536">
        <v>56</v>
      </c>
      <c r="D536">
        <v>30</v>
      </c>
      <c r="E536">
        <v>56</v>
      </c>
      <c r="F536">
        <v>33.299999999999997</v>
      </c>
      <c r="G536">
        <v>1.2509999999999999</v>
      </c>
      <c r="H536">
        <v>24</v>
      </c>
      <c r="I536">
        <v>0</v>
      </c>
    </row>
    <row r="537" spans="1:9" x14ac:dyDescent="0.3">
      <c r="A537">
        <v>4</v>
      </c>
      <c r="B537">
        <v>132</v>
      </c>
      <c r="C537">
        <v>0</v>
      </c>
      <c r="D537">
        <v>0</v>
      </c>
      <c r="E537">
        <v>0</v>
      </c>
      <c r="F537">
        <v>32.9</v>
      </c>
      <c r="G537">
        <v>0.30199999999999999</v>
      </c>
      <c r="H537">
        <v>23</v>
      </c>
      <c r="I537">
        <v>1</v>
      </c>
    </row>
    <row r="538" spans="1:9" x14ac:dyDescent="0.3">
      <c r="A538">
        <v>0</v>
      </c>
      <c r="B538">
        <v>105</v>
      </c>
      <c r="C538">
        <v>90</v>
      </c>
      <c r="D538">
        <v>0</v>
      </c>
      <c r="E538">
        <v>0</v>
      </c>
      <c r="F538">
        <v>29.6</v>
      </c>
      <c r="G538">
        <v>0.19700000000000001</v>
      </c>
      <c r="H538">
        <v>46</v>
      </c>
      <c r="I538">
        <v>0</v>
      </c>
    </row>
    <row r="539" spans="1:9" x14ac:dyDescent="0.3">
      <c r="A539">
        <v>0</v>
      </c>
      <c r="B539">
        <v>57</v>
      </c>
      <c r="C539">
        <v>60</v>
      </c>
      <c r="D539">
        <v>0</v>
      </c>
      <c r="E539">
        <v>0</v>
      </c>
      <c r="F539">
        <v>21.7</v>
      </c>
      <c r="G539">
        <v>0.73499999999999999</v>
      </c>
      <c r="H539">
        <v>67</v>
      </c>
      <c r="I539">
        <v>0</v>
      </c>
    </row>
    <row r="540" spans="1:9" x14ac:dyDescent="0.3">
      <c r="A540">
        <v>0</v>
      </c>
      <c r="B540">
        <v>127</v>
      </c>
      <c r="C540">
        <v>80</v>
      </c>
      <c r="D540">
        <v>37</v>
      </c>
      <c r="E540">
        <v>210</v>
      </c>
      <c r="F540">
        <v>36.299999999999997</v>
      </c>
      <c r="G540">
        <v>0.80400000000000005</v>
      </c>
      <c r="H540">
        <v>23</v>
      </c>
      <c r="I540">
        <v>0</v>
      </c>
    </row>
    <row r="541" spans="1:9" x14ac:dyDescent="0.3">
      <c r="A541">
        <v>3</v>
      </c>
      <c r="B541">
        <v>129</v>
      </c>
      <c r="C541">
        <v>92</v>
      </c>
      <c r="D541">
        <v>49</v>
      </c>
      <c r="E541">
        <v>155</v>
      </c>
      <c r="F541">
        <v>36.4</v>
      </c>
      <c r="G541">
        <v>0.96799999999999997</v>
      </c>
      <c r="H541">
        <v>32</v>
      </c>
      <c r="I541">
        <v>1</v>
      </c>
    </row>
    <row r="542" spans="1:9" x14ac:dyDescent="0.3">
      <c r="A542">
        <v>8</v>
      </c>
      <c r="B542">
        <v>100</v>
      </c>
      <c r="C542">
        <v>74</v>
      </c>
      <c r="D542">
        <v>40</v>
      </c>
      <c r="E542">
        <v>215</v>
      </c>
      <c r="F542">
        <v>39.4</v>
      </c>
      <c r="G542">
        <v>0.66100000000000003</v>
      </c>
      <c r="H542">
        <v>43</v>
      </c>
      <c r="I542">
        <v>1</v>
      </c>
    </row>
    <row r="543" spans="1:9" x14ac:dyDescent="0.3">
      <c r="A543">
        <v>3</v>
      </c>
      <c r="B543">
        <v>128</v>
      </c>
      <c r="C543">
        <v>72</v>
      </c>
      <c r="D543">
        <v>25</v>
      </c>
      <c r="E543">
        <v>190</v>
      </c>
      <c r="F543">
        <v>32.4</v>
      </c>
      <c r="G543">
        <v>0.54900000000000004</v>
      </c>
      <c r="H543">
        <v>27</v>
      </c>
      <c r="I543">
        <v>1</v>
      </c>
    </row>
    <row r="544" spans="1:9" x14ac:dyDescent="0.3">
      <c r="A544">
        <v>10</v>
      </c>
      <c r="B544">
        <v>90</v>
      </c>
      <c r="C544">
        <v>85</v>
      </c>
      <c r="D544">
        <v>32</v>
      </c>
      <c r="E544">
        <v>0</v>
      </c>
      <c r="F544">
        <v>34.9</v>
      </c>
      <c r="G544">
        <v>0.82499999999999996</v>
      </c>
      <c r="H544">
        <v>56</v>
      </c>
      <c r="I544">
        <v>1</v>
      </c>
    </row>
    <row r="545" spans="1:9" x14ac:dyDescent="0.3">
      <c r="A545">
        <v>4</v>
      </c>
      <c r="B545">
        <v>84</v>
      </c>
      <c r="C545">
        <v>90</v>
      </c>
      <c r="D545">
        <v>23</v>
      </c>
      <c r="E545">
        <v>56</v>
      </c>
      <c r="F545">
        <v>39.5</v>
      </c>
      <c r="G545">
        <v>0.159</v>
      </c>
      <c r="H545">
        <v>25</v>
      </c>
      <c r="I545">
        <v>0</v>
      </c>
    </row>
    <row r="546" spans="1:9" x14ac:dyDescent="0.3">
      <c r="A546">
        <v>1</v>
      </c>
      <c r="B546">
        <v>88</v>
      </c>
      <c r="C546">
        <v>78</v>
      </c>
      <c r="D546">
        <v>29</v>
      </c>
      <c r="E546">
        <v>76</v>
      </c>
      <c r="F546">
        <v>32</v>
      </c>
      <c r="G546">
        <v>0.36499999999999999</v>
      </c>
      <c r="H546">
        <v>29</v>
      </c>
      <c r="I546">
        <v>0</v>
      </c>
    </row>
    <row r="547" spans="1:9" x14ac:dyDescent="0.3">
      <c r="A547">
        <v>8</v>
      </c>
      <c r="B547">
        <v>186</v>
      </c>
      <c r="C547">
        <v>90</v>
      </c>
      <c r="D547">
        <v>35</v>
      </c>
      <c r="E547">
        <v>225</v>
      </c>
      <c r="F547">
        <v>34.5</v>
      </c>
      <c r="G547">
        <v>0.42299999999999999</v>
      </c>
      <c r="H547">
        <v>37</v>
      </c>
      <c r="I547">
        <v>1</v>
      </c>
    </row>
    <row r="548" spans="1:9" x14ac:dyDescent="0.3">
      <c r="A548">
        <v>5</v>
      </c>
      <c r="B548">
        <v>187</v>
      </c>
      <c r="C548">
        <v>76</v>
      </c>
      <c r="D548">
        <v>27</v>
      </c>
      <c r="E548">
        <v>207</v>
      </c>
      <c r="F548">
        <v>43.6</v>
      </c>
      <c r="G548">
        <v>1.034</v>
      </c>
      <c r="H548">
        <v>53</v>
      </c>
      <c r="I548">
        <v>1</v>
      </c>
    </row>
    <row r="549" spans="1:9" x14ac:dyDescent="0.3">
      <c r="A549">
        <v>4</v>
      </c>
      <c r="B549">
        <v>131</v>
      </c>
      <c r="C549">
        <v>68</v>
      </c>
      <c r="D549">
        <v>21</v>
      </c>
      <c r="E549">
        <v>166</v>
      </c>
      <c r="F549">
        <v>33.1</v>
      </c>
      <c r="G549">
        <v>0.16</v>
      </c>
      <c r="H549">
        <v>28</v>
      </c>
      <c r="I549">
        <v>0</v>
      </c>
    </row>
    <row r="550" spans="1:9" x14ac:dyDescent="0.3">
      <c r="A550">
        <v>1</v>
      </c>
      <c r="B550">
        <v>164</v>
      </c>
      <c r="C550">
        <v>82</v>
      </c>
      <c r="D550">
        <v>43</v>
      </c>
      <c r="E550">
        <v>67</v>
      </c>
      <c r="F550">
        <v>32.799999999999997</v>
      </c>
      <c r="G550">
        <v>0.34100000000000003</v>
      </c>
      <c r="H550">
        <v>50</v>
      </c>
      <c r="I550">
        <v>0</v>
      </c>
    </row>
    <row r="551" spans="1:9" x14ac:dyDescent="0.3">
      <c r="A551">
        <v>4</v>
      </c>
      <c r="B551">
        <v>189</v>
      </c>
      <c r="C551">
        <v>110</v>
      </c>
      <c r="D551">
        <v>31</v>
      </c>
      <c r="E551">
        <v>0</v>
      </c>
      <c r="F551">
        <v>28.5</v>
      </c>
      <c r="G551">
        <v>0.68</v>
      </c>
      <c r="H551">
        <v>37</v>
      </c>
      <c r="I551">
        <v>0</v>
      </c>
    </row>
    <row r="552" spans="1:9" x14ac:dyDescent="0.3">
      <c r="A552">
        <v>1</v>
      </c>
      <c r="B552">
        <v>116</v>
      </c>
      <c r="C552">
        <v>70</v>
      </c>
      <c r="D552">
        <v>28</v>
      </c>
      <c r="E552">
        <v>0</v>
      </c>
      <c r="F552">
        <v>27.4</v>
      </c>
      <c r="G552">
        <v>0.20399999999999999</v>
      </c>
      <c r="H552">
        <v>21</v>
      </c>
      <c r="I552">
        <v>0</v>
      </c>
    </row>
    <row r="553" spans="1:9" x14ac:dyDescent="0.3">
      <c r="A553">
        <v>3</v>
      </c>
      <c r="B553">
        <v>84</v>
      </c>
      <c r="C553">
        <v>68</v>
      </c>
      <c r="D553">
        <v>30</v>
      </c>
      <c r="E553">
        <v>106</v>
      </c>
      <c r="F553">
        <v>31.9</v>
      </c>
      <c r="G553">
        <v>0.59099999999999997</v>
      </c>
      <c r="H553">
        <v>25</v>
      </c>
      <c r="I553">
        <v>0</v>
      </c>
    </row>
    <row r="554" spans="1:9" x14ac:dyDescent="0.3">
      <c r="A554">
        <v>6</v>
      </c>
      <c r="B554">
        <v>114</v>
      </c>
      <c r="C554">
        <v>88</v>
      </c>
      <c r="D554">
        <v>0</v>
      </c>
      <c r="E554">
        <v>0</v>
      </c>
      <c r="F554">
        <v>27.8</v>
      </c>
      <c r="G554">
        <v>0.247</v>
      </c>
      <c r="H554">
        <v>66</v>
      </c>
      <c r="I554">
        <v>0</v>
      </c>
    </row>
    <row r="555" spans="1:9" x14ac:dyDescent="0.3">
      <c r="A555">
        <v>1</v>
      </c>
      <c r="B555">
        <v>88</v>
      </c>
      <c r="C555">
        <v>62</v>
      </c>
      <c r="D555">
        <v>24</v>
      </c>
      <c r="E555">
        <v>44</v>
      </c>
      <c r="F555">
        <v>29.9</v>
      </c>
      <c r="G555">
        <v>0.42199999999999999</v>
      </c>
      <c r="H555">
        <v>23</v>
      </c>
      <c r="I555">
        <v>0</v>
      </c>
    </row>
    <row r="556" spans="1:9" x14ac:dyDescent="0.3">
      <c r="A556">
        <v>1</v>
      </c>
      <c r="B556">
        <v>84</v>
      </c>
      <c r="C556">
        <v>64</v>
      </c>
      <c r="D556">
        <v>23</v>
      </c>
      <c r="E556">
        <v>115</v>
      </c>
      <c r="F556">
        <v>36.9</v>
      </c>
      <c r="G556">
        <v>0.47099999999999997</v>
      </c>
      <c r="H556">
        <v>28</v>
      </c>
      <c r="I556">
        <v>0</v>
      </c>
    </row>
    <row r="557" spans="1:9" x14ac:dyDescent="0.3">
      <c r="A557">
        <v>7</v>
      </c>
      <c r="B557">
        <v>124</v>
      </c>
      <c r="C557">
        <v>70</v>
      </c>
      <c r="D557">
        <v>33</v>
      </c>
      <c r="E557">
        <v>215</v>
      </c>
      <c r="F557">
        <v>25.5</v>
      </c>
      <c r="G557">
        <v>0.161</v>
      </c>
      <c r="H557">
        <v>37</v>
      </c>
      <c r="I557">
        <v>0</v>
      </c>
    </row>
    <row r="558" spans="1:9" x14ac:dyDescent="0.3">
      <c r="A558">
        <v>1</v>
      </c>
      <c r="B558">
        <v>97</v>
      </c>
      <c r="C558">
        <v>70</v>
      </c>
      <c r="D558">
        <v>40</v>
      </c>
      <c r="E558">
        <v>0</v>
      </c>
      <c r="F558">
        <v>38.1</v>
      </c>
      <c r="G558">
        <v>0.218</v>
      </c>
      <c r="H558">
        <v>30</v>
      </c>
      <c r="I558">
        <v>0</v>
      </c>
    </row>
    <row r="559" spans="1:9" x14ac:dyDescent="0.3">
      <c r="A559">
        <v>8</v>
      </c>
      <c r="B559">
        <v>110</v>
      </c>
      <c r="C559">
        <v>76</v>
      </c>
      <c r="D559">
        <v>0</v>
      </c>
      <c r="E559">
        <v>0</v>
      </c>
      <c r="F559">
        <v>27.8</v>
      </c>
      <c r="G559">
        <v>0.23699999999999999</v>
      </c>
      <c r="H559">
        <v>58</v>
      </c>
      <c r="I559">
        <v>0</v>
      </c>
    </row>
    <row r="560" spans="1:9" x14ac:dyDescent="0.3">
      <c r="A560">
        <v>11</v>
      </c>
      <c r="B560">
        <v>103</v>
      </c>
      <c r="C560">
        <v>68</v>
      </c>
      <c r="D560">
        <v>40</v>
      </c>
      <c r="E560">
        <v>0</v>
      </c>
      <c r="F560">
        <v>46.2</v>
      </c>
      <c r="G560">
        <v>0.126</v>
      </c>
      <c r="H560">
        <v>42</v>
      </c>
      <c r="I560">
        <v>0</v>
      </c>
    </row>
    <row r="561" spans="1:9" x14ac:dyDescent="0.3">
      <c r="A561">
        <v>11</v>
      </c>
      <c r="B561">
        <v>85</v>
      </c>
      <c r="C561">
        <v>74</v>
      </c>
      <c r="D561">
        <v>0</v>
      </c>
      <c r="E561">
        <v>0</v>
      </c>
      <c r="F561">
        <v>30.1</v>
      </c>
      <c r="G561">
        <v>0.3</v>
      </c>
      <c r="H561">
        <v>35</v>
      </c>
      <c r="I561">
        <v>0</v>
      </c>
    </row>
    <row r="562" spans="1:9" x14ac:dyDescent="0.3">
      <c r="A562">
        <v>6</v>
      </c>
      <c r="B562">
        <v>125</v>
      </c>
      <c r="C562">
        <v>76</v>
      </c>
      <c r="D562">
        <v>0</v>
      </c>
      <c r="E562">
        <v>0</v>
      </c>
      <c r="F562">
        <v>33.799999999999997</v>
      </c>
      <c r="G562">
        <v>0.121</v>
      </c>
      <c r="H562">
        <v>54</v>
      </c>
      <c r="I562">
        <v>1</v>
      </c>
    </row>
    <row r="563" spans="1:9" x14ac:dyDescent="0.3">
      <c r="A563">
        <v>0</v>
      </c>
      <c r="B563">
        <v>198</v>
      </c>
      <c r="C563">
        <v>66</v>
      </c>
      <c r="D563">
        <v>32</v>
      </c>
      <c r="E563">
        <v>274</v>
      </c>
      <c r="F563">
        <v>41.3</v>
      </c>
      <c r="G563">
        <v>0.502</v>
      </c>
      <c r="H563">
        <v>28</v>
      </c>
      <c r="I563">
        <v>1</v>
      </c>
    </row>
    <row r="564" spans="1:9" x14ac:dyDescent="0.3">
      <c r="A564">
        <v>1</v>
      </c>
      <c r="B564">
        <v>87</v>
      </c>
      <c r="C564">
        <v>68</v>
      </c>
      <c r="D564">
        <v>34</v>
      </c>
      <c r="E564">
        <v>77</v>
      </c>
      <c r="F564">
        <v>37.6</v>
      </c>
      <c r="G564">
        <v>0.40100000000000002</v>
      </c>
      <c r="H564">
        <v>24</v>
      </c>
      <c r="I564">
        <v>0</v>
      </c>
    </row>
    <row r="565" spans="1:9" x14ac:dyDescent="0.3">
      <c r="A565">
        <v>6</v>
      </c>
      <c r="B565">
        <v>99</v>
      </c>
      <c r="C565">
        <v>60</v>
      </c>
      <c r="D565">
        <v>19</v>
      </c>
      <c r="E565">
        <v>54</v>
      </c>
      <c r="F565">
        <v>26.9</v>
      </c>
      <c r="G565">
        <v>0.497</v>
      </c>
      <c r="H565">
        <v>32</v>
      </c>
      <c r="I565">
        <v>0</v>
      </c>
    </row>
    <row r="566" spans="1:9" x14ac:dyDescent="0.3">
      <c r="A566">
        <v>0</v>
      </c>
      <c r="B566">
        <v>91</v>
      </c>
      <c r="C566">
        <v>80</v>
      </c>
      <c r="D566">
        <v>0</v>
      </c>
      <c r="E566">
        <v>0</v>
      </c>
      <c r="F566">
        <v>32.4</v>
      </c>
      <c r="G566">
        <v>0.60099999999999998</v>
      </c>
      <c r="H566">
        <v>27</v>
      </c>
      <c r="I566">
        <v>0</v>
      </c>
    </row>
    <row r="567" spans="1:9" x14ac:dyDescent="0.3">
      <c r="A567">
        <v>2</v>
      </c>
      <c r="B567">
        <v>95</v>
      </c>
      <c r="C567">
        <v>54</v>
      </c>
      <c r="D567">
        <v>14</v>
      </c>
      <c r="E567">
        <v>88</v>
      </c>
      <c r="F567">
        <v>26.1</v>
      </c>
      <c r="G567">
        <v>0.748</v>
      </c>
      <c r="H567">
        <v>22</v>
      </c>
      <c r="I567">
        <v>0</v>
      </c>
    </row>
    <row r="568" spans="1:9" x14ac:dyDescent="0.3">
      <c r="A568">
        <v>1</v>
      </c>
      <c r="B568">
        <v>99</v>
      </c>
      <c r="C568">
        <v>72</v>
      </c>
      <c r="D568">
        <v>30</v>
      </c>
      <c r="E568">
        <v>18</v>
      </c>
      <c r="F568">
        <v>38.6</v>
      </c>
      <c r="G568">
        <v>0.41199999999999998</v>
      </c>
      <c r="H568">
        <v>21</v>
      </c>
      <c r="I568">
        <v>0</v>
      </c>
    </row>
    <row r="569" spans="1:9" x14ac:dyDescent="0.3">
      <c r="A569">
        <v>6</v>
      </c>
      <c r="B569">
        <v>92</v>
      </c>
      <c r="C569">
        <v>62</v>
      </c>
      <c r="D569">
        <v>32</v>
      </c>
      <c r="E569">
        <v>126</v>
      </c>
      <c r="F569">
        <v>32</v>
      </c>
      <c r="G569">
        <v>8.5000000000000006E-2</v>
      </c>
      <c r="H569">
        <v>46</v>
      </c>
      <c r="I569">
        <v>0</v>
      </c>
    </row>
    <row r="570" spans="1:9" x14ac:dyDescent="0.3">
      <c r="A570">
        <v>4</v>
      </c>
      <c r="B570">
        <v>154</v>
      </c>
      <c r="C570">
        <v>72</v>
      </c>
      <c r="D570">
        <v>29</v>
      </c>
      <c r="E570">
        <v>126</v>
      </c>
      <c r="F570">
        <v>31.3</v>
      </c>
      <c r="G570">
        <v>0.33800000000000002</v>
      </c>
      <c r="H570">
        <v>37</v>
      </c>
      <c r="I570">
        <v>0</v>
      </c>
    </row>
    <row r="571" spans="1:9" x14ac:dyDescent="0.3">
      <c r="A571">
        <v>0</v>
      </c>
      <c r="B571">
        <v>121</v>
      </c>
      <c r="C571">
        <v>66</v>
      </c>
      <c r="D571">
        <v>30</v>
      </c>
      <c r="E571">
        <v>165</v>
      </c>
      <c r="F571">
        <v>34.299999999999997</v>
      </c>
      <c r="G571">
        <v>0.20300000000000001</v>
      </c>
      <c r="H571">
        <v>33</v>
      </c>
      <c r="I571">
        <v>1</v>
      </c>
    </row>
    <row r="572" spans="1:9" x14ac:dyDescent="0.3">
      <c r="A572">
        <v>3</v>
      </c>
      <c r="B572">
        <v>78</v>
      </c>
      <c r="C572">
        <v>70</v>
      </c>
      <c r="D572">
        <v>0</v>
      </c>
      <c r="E572">
        <v>0</v>
      </c>
      <c r="F572">
        <v>32.5</v>
      </c>
      <c r="G572">
        <v>0.27</v>
      </c>
      <c r="H572">
        <v>39</v>
      </c>
      <c r="I572">
        <v>0</v>
      </c>
    </row>
    <row r="573" spans="1:9" x14ac:dyDescent="0.3">
      <c r="A573">
        <v>2</v>
      </c>
      <c r="B573">
        <v>130</v>
      </c>
      <c r="C573">
        <v>96</v>
      </c>
      <c r="D573">
        <v>0</v>
      </c>
      <c r="E573">
        <v>0</v>
      </c>
      <c r="F573">
        <v>22.6</v>
      </c>
      <c r="G573">
        <v>0.26800000000000002</v>
      </c>
      <c r="H573">
        <v>21</v>
      </c>
      <c r="I573">
        <v>0</v>
      </c>
    </row>
    <row r="574" spans="1:9" x14ac:dyDescent="0.3">
      <c r="A574">
        <v>3</v>
      </c>
      <c r="B574">
        <v>111</v>
      </c>
      <c r="C574">
        <v>58</v>
      </c>
      <c r="D574">
        <v>31</v>
      </c>
      <c r="E574">
        <v>44</v>
      </c>
      <c r="F574">
        <v>29.5</v>
      </c>
      <c r="G574">
        <v>0.43</v>
      </c>
      <c r="H574">
        <v>22</v>
      </c>
      <c r="I574">
        <v>0</v>
      </c>
    </row>
    <row r="575" spans="1:9" x14ac:dyDescent="0.3">
      <c r="A575">
        <v>2</v>
      </c>
      <c r="B575">
        <v>98</v>
      </c>
      <c r="C575">
        <v>60</v>
      </c>
      <c r="D575">
        <v>17</v>
      </c>
      <c r="E575">
        <v>120</v>
      </c>
      <c r="F575">
        <v>34.700000000000003</v>
      </c>
      <c r="G575">
        <v>0.19800000000000001</v>
      </c>
      <c r="H575">
        <v>22</v>
      </c>
      <c r="I575">
        <v>0</v>
      </c>
    </row>
    <row r="576" spans="1:9" x14ac:dyDescent="0.3">
      <c r="A576">
        <v>1</v>
      </c>
      <c r="B576">
        <v>143</v>
      </c>
      <c r="C576">
        <v>86</v>
      </c>
      <c r="D576">
        <v>30</v>
      </c>
      <c r="E576">
        <v>330</v>
      </c>
      <c r="F576">
        <v>30.1</v>
      </c>
      <c r="G576">
        <v>0.89200000000000002</v>
      </c>
      <c r="H576">
        <v>23</v>
      </c>
      <c r="I576">
        <v>0</v>
      </c>
    </row>
    <row r="577" spans="1:9" x14ac:dyDescent="0.3">
      <c r="A577">
        <v>1</v>
      </c>
      <c r="B577">
        <v>119</v>
      </c>
      <c r="C577">
        <v>44</v>
      </c>
      <c r="D577">
        <v>47</v>
      </c>
      <c r="E577">
        <v>63</v>
      </c>
      <c r="F577">
        <v>35.5</v>
      </c>
      <c r="G577">
        <v>0.28000000000000003</v>
      </c>
      <c r="H577">
        <v>25</v>
      </c>
      <c r="I577">
        <v>0</v>
      </c>
    </row>
    <row r="578" spans="1:9" x14ac:dyDescent="0.3">
      <c r="A578">
        <v>6</v>
      </c>
      <c r="B578">
        <v>108</v>
      </c>
      <c r="C578">
        <v>44</v>
      </c>
      <c r="D578">
        <v>20</v>
      </c>
      <c r="E578">
        <v>130</v>
      </c>
      <c r="F578">
        <v>24</v>
      </c>
      <c r="G578">
        <v>0.81299999999999994</v>
      </c>
      <c r="H578">
        <v>35</v>
      </c>
      <c r="I578">
        <v>0</v>
      </c>
    </row>
    <row r="579" spans="1:9" x14ac:dyDescent="0.3">
      <c r="A579">
        <v>2</v>
      </c>
      <c r="B579">
        <v>118</v>
      </c>
      <c r="C579">
        <v>80</v>
      </c>
      <c r="D579">
        <v>0</v>
      </c>
      <c r="E579">
        <v>0</v>
      </c>
      <c r="F579">
        <v>42.9</v>
      </c>
      <c r="G579">
        <v>0.69299999999999995</v>
      </c>
      <c r="H579">
        <v>21</v>
      </c>
      <c r="I579">
        <v>1</v>
      </c>
    </row>
    <row r="580" spans="1:9" x14ac:dyDescent="0.3">
      <c r="A580">
        <v>10</v>
      </c>
      <c r="B580">
        <v>133</v>
      </c>
      <c r="C580">
        <v>68</v>
      </c>
      <c r="D580">
        <v>0</v>
      </c>
      <c r="E580">
        <v>0</v>
      </c>
      <c r="F580">
        <v>27</v>
      </c>
      <c r="G580">
        <v>0.245</v>
      </c>
      <c r="H580">
        <v>36</v>
      </c>
      <c r="I580">
        <v>0</v>
      </c>
    </row>
    <row r="581" spans="1:9" x14ac:dyDescent="0.3">
      <c r="A581">
        <v>2</v>
      </c>
      <c r="B581">
        <v>197</v>
      </c>
      <c r="C581">
        <v>70</v>
      </c>
      <c r="D581">
        <v>99</v>
      </c>
      <c r="E581">
        <v>0</v>
      </c>
      <c r="F581">
        <v>34.700000000000003</v>
      </c>
      <c r="G581">
        <v>0.57499999999999996</v>
      </c>
      <c r="H581">
        <v>62</v>
      </c>
      <c r="I581">
        <v>1</v>
      </c>
    </row>
    <row r="582" spans="1:9" x14ac:dyDescent="0.3">
      <c r="A582">
        <v>0</v>
      </c>
      <c r="B582">
        <v>151</v>
      </c>
      <c r="C582">
        <v>90</v>
      </c>
      <c r="D582">
        <v>46</v>
      </c>
      <c r="E582">
        <v>0</v>
      </c>
      <c r="F582">
        <v>42.1</v>
      </c>
      <c r="G582">
        <v>0.371</v>
      </c>
      <c r="H582">
        <v>21</v>
      </c>
      <c r="I582">
        <v>1</v>
      </c>
    </row>
    <row r="583" spans="1:9" x14ac:dyDescent="0.3">
      <c r="A583">
        <v>6</v>
      </c>
      <c r="B583">
        <v>109</v>
      </c>
      <c r="C583">
        <v>60</v>
      </c>
      <c r="D583">
        <v>27</v>
      </c>
      <c r="E583">
        <v>0</v>
      </c>
      <c r="F583">
        <v>25</v>
      </c>
      <c r="G583">
        <v>0.20599999999999999</v>
      </c>
      <c r="H583">
        <v>27</v>
      </c>
      <c r="I583">
        <v>0</v>
      </c>
    </row>
    <row r="584" spans="1:9" x14ac:dyDescent="0.3">
      <c r="A584">
        <v>12</v>
      </c>
      <c r="B584">
        <v>121</v>
      </c>
      <c r="C584">
        <v>78</v>
      </c>
      <c r="D584">
        <v>17</v>
      </c>
      <c r="E584">
        <v>0</v>
      </c>
      <c r="F584">
        <v>26.5</v>
      </c>
      <c r="G584">
        <v>0.25900000000000001</v>
      </c>
      <c r="H584">
        <v>62</v>
      </c>
      <c r="I584">
        <v>0</v>
      </c>
    </row>
    <row r="585" spans="1:9" x14ac:dyDescent="0.3">
      <c r="A585">
        <v>8</v>
      </c>
      <c r="B585">
        <v>100</v>
      </c>
      <c r="C585">
        <v>76</v>
      </c>
      <c r="D585">
        <v>0</v>
      </c>
      <c r="E585">
        <v>0</v>
      </c>
      <c r="F585">
        <v>38.700000000000003</v>
      </c>
      <c r="G585">
        <v>0.19</v>
      </c>
      <c r="H585">
        <v>42</v>
      </c>
      <c r="I585">
        <v>0</v>
      </c>
    </row>
    <row r="586" spans="1:9" x14ac:dyDescent="0.3">
      <c r="A586">
        <v>8</v>
      </c>
      <c r="B586">
        <v>124</v>
      </c>
      <c r="C586">
        <v>76</v>
      </c>
      <c r="D586">
        <v>24</v>
      </c>
      <c r="E586">
        <v>600</v>
      </c>
      <c r="F586">
        <v>28.7</v>
      </c>
      <c r="G586">
        <v>0.68700000000000006</v>
      </c>
      <c r="H586">
        <v>52</v>
      </c>
      <c r="I586">
        <v>1</v>
      </c>
    </row>
    <row r="587" spans="1:9" x14ac:dyDescent="0.3">
      <c r="A587">
        <v>1</v>
      </c>
      <c r="B587">
        <v>93</v>
      </c>
      <c r="C587">
        <v>56</v>
      </c>
      <c r="D587">
        <v>11</v>
      </c>
      <c r="E587">
        <v>0</v>
      </c>
      <c r="F587">
        <v>22.5</v>
      </c>
      <c r="G587">
        <v>0.41699999999999998</v>
      </c>
      <c r="H587">
        <v>22</v>
      </c>
      <c r="I587">
        <v>0</v>
      </c>
    </row>
    <row r="588" spans="1:9" x14ac:dyDescent="0.3">
      <c r="A588">
        <v>8</v>
      </c>
      <c r="B588">
        <v>143</v>
      </c>
      <c r="C588">
        <v>66</v>
      </c>
      <c r="D588">
        <v>0</v>
      </c>
      <c r="E588">
        <v>0</v>
      </c>
      <c r="F588">
        <v>34.9</v>
      </c>
      <c r="G588">
        <v>0.129</v>
      </c>
      <c r="H588">
        <v>41</v>
      </c>
      <c r="I588">
        <v>1</v>
      </c>
    </row>
    <row r="589" spans="1:9" x14ac:dyDescent="0.3">
      <c r="A589">
        <v>6</v>
      </c>
      <c r="B589">
        <v>103</v>
      </c>
      <c r="C589">
        <v>66</v>
      </c>
      <c r="D589">
        <v>0</v>
      </c>
      <c r="E589">
        <v>0</v>
      </c>
      <c r="F589">
        <v>24.3</v>
      </c>
      <c r="G589">
        <v>0.249</v>
      </c>
      <c r="H589">
        <v>29</v>
      </c>
      <c r="I589">
        <v>0</v>
      </c>
    </row>
    <row r="590" spans="1:9" x14ac:dyDescent="0.3">
      <c r="A590">
        <v>3</v>
      </c>
      <c r="B590">
        <v>176</v>
      </c>
      <c r="C590">
        <v>86</v>
      </c>
      <c r="D590">
        <v>27</v>
      </c>
      <c r="E590">
        <v>156</v>
      </c>
      <c r="F590">
        <v>33.299999999999997</v>
      </c>
      <c r="G590">
        <v>1.1539999999999999</v>
      </c>
      <c r="H590">
        <v>52</v>
      </c>
      <c r="I590">
        <v>1</v>
      </c>
    </row>
    <row r="591" spans="1:9" x14ac:dyDescent="0.3">
      <c r="A591">
        <v>0</v>
      </c>
      <c r="B591">
        <v>73</v>
      </c>
      <c r="C591">
        <v>0</v>
      </c>
      <c r="D591">
        <v>0</v>
      </c>
      <c r="E591">
        <v>0</v>
      </c>
      <c r="F591">
        <v>21.1</v>
      </c>
      <c r="G591">
        <v>0.34200000000000003</v>
      </c>
      <c r="H591">
        <v>25</v>
      </c>
      <c r="I591">
        <v>0</v>
      </c>
    </row>
    <row r="592" spans="1:9" x14ac:dyDescent="0.3">
      <c r="A592">
        <v>11</v>
      </c>
      <c r="B592">
        <v>111</v>
      </c>
      <c r="C592">
        <v>84</v>
      </c>
      <c r="D592">
        <v>40</v>
      </c>
      <c r="E592">
        <v>0</v>
      </c>
      <c r="F592">
        <v>46.8</v>
      </c>
      <c r="G592">
        <v>0.92500000000000004</v>
      </c>
      <c r="H592">
        <v>45</v>
      </c>
      <c r="I592">
        <v>1</v>
      </c>
    </row>
    <row r="593" spans="1:9" x14ac:dyDescent="0.3">
      <c r="A593">
        <v>2</v>
      </c>
      <c r="B593">
        <v>112</v>
      </c>
      <c r="C593">
        <v>78</v>
      </c>
      <c r="D593">
        <v>50</v>
      </c>
      <c r="E593">
        <v>140</v>
      </c>
      <c r="F593">
        <v>39.4</v>
      </c>
      <c r="G593">
        <v>0.17499999999999999</v>
      </c>
      <c r="H593">
        <v>24</v>
      </c>
      <c r="I593">
        <v>0</v>
      </c>
    </row>
    <row r="594" spans="1:9" x14ac:dyDescent="0.3">
      <c r="A594">
        <v>3</v>
      </c>
      <c r="B594">
        <v>132</v>
      </c>
      <c r="C594">
        <v>80</v>
      </c>
      <c r="D594">
        <v>0</v>
      </c>
      <c r="E594">
        <v>0</v>
      </c>
      <c r="F594">
        <v>34.4</v>
      </c>
      <c r="G594">
        <v>0.40200000000000002</v>
      </c>
      <c r="H594">
        <v>44</v>
      </c>
      <c r="I594">
        <v>1</v>
      </c>
    </row>
    <row r="595" spans="1:9" x14ac:dyDescent="0.3">
      <c r="A595">
        <v>2</v>
      </c>
      <c r="B595">
        <v>82</v>
      </c>
      <c r="C595">
        <v>52</v>
      </c>
      <c r="D595">
        <v>22</v>
      </c>
      <c r="E595">
        <v>115</v>
      </c>
      <c r="F595">
        <v>28.5</v>
      </c>
      <c r="G595">
        <v>1.6990000000000001</v>
      </c>
      <c r="H595">
        <v>25</v>
      </c>
      <c r="I595">
        <v>0</v>
      </c>
    </row>
    <row r="596" spans="1:9" x14ac:dyDescent="0.3">
      <c r="A596">
        <v>6</v>
      </c>
      <c r="B596">
        <v>123</v>
      </c>
      <c r="C596">
        <v>72</v>
      </c>
      <c r="D596">
        <v>45</v>
      </c>
      <c r="E596">
        <v>230</v>
      </c>
      <c r="F596">
        <v>33.6</v>
      </c>
      <c r="G596">
        <v>0.73299999999999998</v>
      </c>
      <c r="H596">
        <v>34</v>
      </c>
      <c r="I596">
        <v>0</v>
      </c>
    </row>
    <row r="597" spans="1:9" x14ac:dyDescent="0.3">
      <c r="A597">
        <v>0</v>
      </c>
      <c r="B597">
        <v>188</v>
      </c>
      <c r="C597">
        <v>82</v>
      </c>
      <c r="D597">
        <v>14</v>
      </c>
      <c r="E597">
        <v>185</v>
      </c>
      <c r="F597">
        <v>32</v>
      </c>
      <c r="G597">
        <v>0.68200000000000005</v>
      </c>
      <c r="H597">
        <v>22</v>
      </c>
      <c r="I597">
        <v>1</v>
      </c>
    </row>
    <row r="598" spans="1:9" x14ac:dyDescent="0.3">
      <c r="A598">
        <v>0</v>
      </c>
      <c r="B598">
        <v>67</v>
      </c>
      <c r="C598">
        <v>76</v>
      </c>
      <c r="D598">
        <v>0</v>
      </c>
      <c r="E598">
        <v>0</v>
      </c>
      <c r="F598">
        <v>45.3</v>
      </c>
      <c r="G598">
        <v>0.19400000000000001</v>
      </c>
      <c r="H598">
        <v>46</v>
      </c>
      <c r="I598">
        <v>0</v>
      </c>
    </row>
    <row r="599" spans="1:9" x14ac:dyDescent="0.3">
      <c r="A599">
        <v>1</v>
      </c>
      <c r="B599">
        <v>89</v>
      </c>
      <c r="C599">
        <v>24</v>
      </c>
      <c r="D599">
        <v>19</v>
      </c>
      <c r="E599">
        <v>25</v>
      </c>
      <c r="F599">
        <v>27.8</v>
      </c>
      <c r="G599">
        <v>0.55900000000000005</v>
      </c>
      <c r="H599">
        <v>21</v>
      </c>
      <c r="I599">
        <v>0</v>
      </c>
    </row>
    <row r="600" spans="1:9" x14ac:dyDescent="0.3">
      <c r="A600">
        <v>1</v>
      </c>
      <c r="B600">
        <v>173</v>
      </c>
      <c r="C600">
        <v>74</v>
      </c>
      <c r="D600">
        <v>0</v>
      </c>
      <c r="E600">
        <v>0</v>
      </c>
      <c r="F600">
        <v>36.799999999999997</v>
      </c>
      <c r="G600">
        <v>8.7999999999999995E-2</v>
      </c>
      <c r="H600">
        <v>38</v>
      </c>
      <c r="I600">
        <v>1</v>
      </c>
    </row>
    <row r="601" spans="1:9" x14ac:dyDescent="0.3">
      <c r="A601">
        <v>1</v>
      </c>
      <c r="B601">
        <v>109</v>
      </c>
      <c r="C601">
        <v>38</v>
      </c>
      <c r="D601">
        <v>18</v>
      </c>
      <c r="E601">
        <v>120</v>
      </c>
      <c r="F601">
        <v>23.1</v>
      </c>
      <c r="G601">
        <v>0.40699999999999997</v>
      </c>
      <c r="H601">
        <v>26</v>
      </c>
      <c r="I601">
        <v>0</v>
      </c>
    </row>
    <row r="602" spans="1:9" x14ac:dyDescent="0.3">
      <c r="A602">
        <v>1</v>
      </c>
      <c r="B602">
        <v>108</v>
      </c>
      <c r="C602">
        <v>88</v>
      </c>
      <c r="D602">
        <v>19</v>
      </c>
      <c r="E602">
        <v>0</v>
      </c>
      <c r="F602">
        <v>27.1</v>
      </c>
      <c r="G602">
        <v>0.4</v>
      </c>
      <c r="H602">
        <v>24</v>
      </c>
      <c r="I602">
        <v>0</v>
      </c>
    </row>
    <row r="603" spans="1:9" x14ac:dyDescent="0.3">
      <c r="A603">
        <v>6</v>
      </c>
      <c r="B603">
        <v>96</v>
      </c>
      <c r="C603">
        <v>0</v>
      </c>
      <c r="D603">
        <v>0</v>
      </c>
      <c r="E603">
        <v>0</v>
      </c>
      <c r="F603">
        <v>23.7</v>
      </c>
      <c r="G603">
        <v>0.19</v>
      </c>
      <c r="H603">
        <v>28</v>
      </c>
      <c r="I603">
        <v>0</v>
      </c>
    </row>
    <row r="604" spans="1:9" x14ac:dyDescent="0.3">
      <c r="A604">
        <v>1</v>
      </c>
      <c r="B604">
        <v>124</v>
      </c>
      <c r="C604">
        <v>74</v>
      </c>
      <c r="D604">
        <v>36</v>
      </c>
      <c r="E604">
        <v>0</v>
      </c>
      <c r="F604">
        <v>27.8</v>
      </c>
      <c r="G604">
        <v>0.1</v>
      </c>
      <c r="H604">
        <v>30</v>
      </c>
      <c r="I604">
        <v>0</v>
      </c>
    </row>
    <row r="605" spans="1:9" x14ac:dyDescent="0.3">
      <c r="A605">
        <v>7</v>
      </c>
      <c r="B605">
        <v>150</v>
      </c>
      <c r="C605">
        <v>78</v>
      </c>
      <c r="D605">
        <v>29</v>
      </c>
      <c r="E605">
        <v>126</v>
      </c>
      <c r="F605">
        <v>35.200000000000003</v>
      </c>
      <c r="G605">
        <v>0.69199999999999995</v>
      </c>
      <c r="H605">
        <v>54</v>
      </c>
      <c r="I605">
        <v>1</v>
      </c>
    </row>
    <row r="606" spans="1:9" x14ac:dyDescent="0.3">
      <c r="A606">
        <v>4</v>
      </c>
      <c r="B606">
        <v>183</v>
      </c>
      <c r="C606">
        <v>0</v>
      </c>
      <c r="D606">
        <v>0</v>
      </c>
      <c r="E606">
        <v>0</v>
      </c>
      <c r="F606">
        <v>28.4</v>
      </c>
      <c r="G606">
        <v>0.21199999999999999</v>
      </c>
      <c r="H606">
        <v>36</v>
      </c>
      <c r="I606">
        <v>1</v>
      </c>
    </row>
    <row r="607" spans="1:9" x14ac:dyDescent="0.3">
      <c r="A607">
        <v>1</v>
      </c>
      <c r="B607">
        <v>124</v>
      </c>
      <c r="C607">
        <v>60</v>
      </c>
      <c r="D607">
        <v>32</v>
      </c>
      <c r="E607">
        <v>0</v>
      </c>
      <c r="F607">
        <v>35.799999999999997</v>
      </c>
      <c r="G607">
        <v>0.51400000000000001</v>
      </c>
      <c r="H607">
        <v>21</v>
      </c>
      <c r="I607">
        <v>0</v>
      </c>
    </row>
    <row r="608" spans="1:9" x14ac:dyDescent="0.3">
      <c r="A608">
        <v>1</v>
      </c>
      <c r="B608">
        <v>181</v>
      </c>
      <c r="C608">
        <v>78</v>
      </c>
      <c r="D608">
        <v>42</v>
      </c>
      <c r="E608">
        <v>293</v>
      </c>
      <c r="F608">
        <v>40</v>
      </c>
      <c r="G608">
        <v>1.258</v>
      </c>
      <c r="H608">
        <v>22</v>
      </c>
      <c r="I608">
        <v>1</v>
      </c>
    </row>
    <row r="609" spans="1:9" x14ac:dyDescent="0.3">
      <c r="A609">
        <v>1</v>
      </c>
      <c r="B609">
        <v>92</v>
      </c>
      <c r="C609">
        <v>62</v>
      </c>
      <c r="D609">
        <v>25</v>
      </c>
      <c r="E609">
        <v>41</v>
      </c>
      <c r="F609">
        <v>19.5</v>
      </c>
      <c r="G609">
        <v>0.48199999999999998</v>
      </c>
      <c r="H609">
        <v>25</v>
      </c>
      <c r="I609">
        <v>0</v>
      </c>
    </row>
    <row r="610" spans="1:9" x14ac:dyDescent="0.3">
      <c r="A610">
        <v>0</v>
      </c>
      <c r="B610">
        <v>152</v>
      </c>
      <c r="C610">
        <v>82</v>
      </c>
      <c r="D610">
        <v>39</v>
      </c>
      <c r="E610">
        <v>272</v>
      </c>
      <c r="F610">
        <v>41.5</v>
      </c>
      <c r="G610">
        <v>0.27</v>
      </c>
      <c r="H610">
        <v>27</v>
      </c>
      <c r="I610">
        <v>0</v>
      </c>
    </row>
    <row r="611" spans="1:9" x14ac:dyDescent="0.3">
      <c r="A611">
        <v>1</v>
      </c>
      <c r="B611">
        <v>111</v>
      </c>
      <c r="C611">
        <v>62</v>
      </c>
      <c r="D611">
        <v>13</v>
      </c>
      <c r="E611">
        <v>182</v>
      </c>
      <c r="F611">
        <v>24</v>
      </c>
      <c r="G611">
        <v>0.13800000000000001</v>
      </c>
      <c r="H611">
        <v>23</v>
      </c>
      <c r="I611">
        <v>0</v>
      </c>
    </row>
    <row r="612" spans="1:9" x14ac:dyDescent="0.3">
      <c r="A612">
        <v>3</v>
      </c>
      <c r="B612">
        <v>106</v>
      </c>
      <c r="C612">
        <v>54</v>
      </c>
      <c r="D612">
        <v>21</v>
      </c>
      <c r="E612">
        <v>158</v>
      </c>
      <c r="F612">
        <v>30.9</v>
      </c>
      <c r="G612">
        <v>0.29199999999999998</v>
      </c>
      <c r="H612">
        <v>24</v>
      </c>
      <c r="I612">
        <v>0</v>
      </c>
    </row>
    <row r="613" spans="1:9" x14ac:dyDescent="0.3">
      <c r="A613">
        <v>3</v>
      </c>
      <c r="B613">
        <v>174</v>
      </c>
      <c r="C613">
        <v>58</v>
      </c>
      <c r="D613">
        <v>22</v>
      </c>
      <c r="E613">
        <v>194</v>
      </c>
      <c r="F613">
        <v>32.9</v>
      </c>
      <c r="G613">
        <v>0.59299999999999997</v>
      </c>
      <c r="H613">
        <v>36</v>
      </c>
      <c r="I613">
        <v>1</v>
      </c>
    </row>
    <row r="614" spans="1:9" x14ac:dyDescent="0.3">
      <c r="A614">
        <v>7</v>
      </c>
      <c r="B614">
        <v>168</v>
      </c>
      <c r="C614">
        <v>88</v>
      </c>
      <c r="D614">
        <v>42</v>
      </c>
      <c r="E614">
        <v>321</v>
      </c>
      <c r="F614">
        <v>38.200000000000003</v>
      </c>
      <c r="G614">
        <v>0.78700000000000003</v>
      </c>
      <c r="H614">
        <v>40</v>
      </c>
      <c r="I614">
        <v>1</v>
      </c>
    </row>
    <row r="615" spans="1:9" x14ac:dyDescent="0.3">
      <c r="A615">
        <v>6</v>
      </c>
      <c r="B615">
        <v>105</v>
      </c>
      <c r="C615">
        <v>80</v>
      </c>
      <c r="D615">
        <v>28</v>
      </c>
      <c r="E615">
        <v>0</v>
      </c>
      <c r="F615">
        <v>32.5</v>
      </c>
      <c r="G615">
        <v>0.878</v>
      </c>
      <c r="H615">
        <v>26</v>
      </c>
      <c r="I615">
        <v>0</v>
      </c>
    </row>
    <row r="616" spans="1:9" x14ac:dyDescent="0.3">
      <c r="A616">
        <v>11</v>
      </c>
      <c r="B616">
        <v>138</v>
      </c>
      <c r="C616">
        <v>74</v>
      </c>
      <c r="D616">
        <v>26</v>
      </c>
      <c r="E616">
        <v>144</v>
      </c>
      <c r="F616">
        <v>36.1</v>
      </c>
      <c r="G616">
        <v>0.55700000000000005</v>
      </c>
      <c r="H616">
        <v>50</v>
      </c>
      <c r="I616">
        <v>1</v>
      </c>
    </row>
    <row r="617" spans="1:9" x14ac:dyDescent="0.3">
      <c r="A617">
        <v>3</v>
      </c>
      <c r="B617">
        <v>106</v>
      </c>
      <c r="C617">
        <v>72</v>
      </c>
      <c r="D617">
        <v>0</v>
      </c>
      <c r="E617">
        <v>0</v>
      </c>
      <c r="F617">
        <v>25.8</v>
      </c>
      <c r="G617">
        <v>0.20699999999999999</v>
      </c>
      <c r="H617">
        <v>27</v>
      </c>
      <c r="I617">
        <v>0</v>
      </c>
    </row>
    <row r="618" spans="1:9" x14ac:dyDescent="0.3">
      <c r="A618">
        <v>6</v>
      </c>
      <c r="B618">
        <v>117</v>
      </c>
      <c r="C618">
        <v>96</v>
      </c>
      <c r="D618">
        <v>0</v>
      </c>
      <c r="E618">
        <v>0</v>
      </c>
      <c r="F618">
        <v>28.7</v>
      </c>
      <c r="G618">
        <v>0.157</v>
      </c>
      <c r="H618">
        <v>30</v>
      </c>
      <c r="I618">
        <v>0</v>
      </c>
    </row>
    <row r="619" spans="1:9" x14ac:dyDescent="0.3">
      <c r="A619">
        <v>2</v>
      </c>
      <c r="B619">
        <v>68</v>
      </c>
      <c r="C619">
        <v>62</v>
      </c>
      <c r="D619">
        <v>13</v>
      </c>
      <c r="E619">
        <v>15</v>
      </c>
      <c r="F619">
        <v>20.100000000000001</v>
      </c>
      <c r="G619">
        <v>0.25700000000000001</v>
      </c>
      <c r="H619">
        <v>23</v>
      </c>
      <c r="I619">
        <v>0</v>
      </c>
    </row>
    <row r="620" spans="1:9" x14ac:dyDescent="0.3">
      <c r="A620">
        <v>9</v>
      </c>
      <c r="B620">
        <v>112</v>
      </c>
      <c r="C620">
        <v>82</v>
      </c>
      <c r="D620">
        <v>24</v>
      </c>
      <c r="E620">
        <v>0</v>
      </c>
      <c r="F620">
        <v>28.2</v>
      </c>
      <c r="G620">
        <v>1.282</v>
      </c>
      <c r="H620">
        <v>50</v>
      </c>
      <c r="I620">
        <v>1</v>
      </c>
    </row>
    <row r="621" spans="1:9" x14ac:dyDescent="0.3">
      <c r="A621">
        <v>0</v>
      </c>
      <c r="B621">
        <v>119</v>
      </c>
      <c r="C621">
        <v>0</v>
      </c>
      <c r="D621">
        <v>0</v>
      </c>
      <c r="E621">
        <v>0</v>
      </c>
      <c r="F621">
        <v>32.4</v>
      </c>
      <c r="G621">
        <v>0.14099999999999999</v>
      </c>
      <c r="H621">
        <v>24</v>
      </c>
      <c r="I621">
        <v>1</v>
      </c>
    </row>
    <row r="622" spans="1:9" x14ac:dyDescent="0.3">
      <c r="A622">
        <v>2</v>
      </c>
      <c r="B622">
        <v>112</v>
      </c>
      <c r="C622">
        <v>86</v>
      </c>
      <c r="D622">
        <v>42</v>
      </c>
      <c r="E622">
        <v>160</v>
      </c>
      <c r="F622">
        <v>38.4</v>
      </c>
      <c r="G622">
        <v>0.246</v>
      </c>
      <c r="H622">
        <v>28</v>
      </c>
      <c r="I622">
        <v>0</v>
      </c>
    </row>
    <row r="623" spans="1:9" x14ac:dyDescent="0.3">
      <c r="A623">
        <v>2</v>
      </c>
      <c r="B623">
        <v>92</v>
      </c>
      <c r="C623">
        <v>76</v>
      </c>
      <c r="D623">
        <v>20</v>
      </c>
      <c r="E623">
        <v>0</v>
      </c>
      <c r="F623">
        <v>24.2</v>
      </c>
      <c r="G623">
        <v>1.698</v>
      </c>
      <c r="H623">
        <v>28</v>
      </c>
      <c r="I623">
        <v>0</v>
      </c>
    </row>
    <row r="624" spans="1:9" x14ac:dyDescent="0.3">
      <c r="A624">
        <v>6</v>
      </c>
      <c r="B624">
        <v>183</v>
      </c>
      <c r="C624">
        <v>94</v>
      </c>
      <c r="D624">
        <v>0</v>
      </c>
      <c r="E624">
        <v>0</v>
      </c>
      <c r="F624">
        <v>40.799999999999997</v>
      </c>
      <c r="G624">
        <v>1.4610000000000001</v>
      </c>
      <c r="H624">
        <v>45</v>
      </c>
      <c r="I624">
        <v>0</v>
      </c>
    </row>
    <row r="625" spans="1:9" x14ac:dyDescent="0.3">
      <c r="A625">
        <v>0</v>
      </c>
      <c r="B625">
        <v>94</v>
      </c>
      <c r="C625">
        <v>70</v>
      </c>
      <c r="D625">
        <v>27</v>
      </c>
      <c r="E625">
        <v>115</v>
      </c>
      <c r="F625">
        <v>43.5</v>
      </c>
      <c r="G625">
        <v>0.34699999999999998</v>
      </c>
      <c r="H625">
        <v>21</v>
      </c>
      <c r="I625">
        <v>0</v>
      </c>
    </row>
    <row r="626" spans="1:9" x14ac:dyDescent="0.3">
      <c r="A626">
        <v>2</v>
      </c>
      <c r="B626">
        <v>108</v>
      </c>
      <c r="C626">
        <v>64</v>
      </c>
      <c r="D626">
        <v>0</v>
      </c>
      <c r="E626">
        <v>0</v>
      </c>
      <c r="F626">
        <v>30.8</v>
      </c>
      <c r="G626">
        <v>0.158</v>
      </c>
      <c r="H626">
        <v>21</v>
      </c>
      <c r="I626">
        <v>0</v>
      </c>
    </row>
    <row r="627" spans="1:9" x14ac:dyDescent="0.3">
      <c r="A627">
        <v>4</v>
      </c>
      <c r="B627">
        <v>90</v>
      </c>
      <c r="C627">
        <v>88</v>
      </c>
      <c r="D627">
        <v>47</v>
      </c>
      <c r="E627">
        <v>54</v>
      </c>
      <c r="F627">
        <v>37.700000000000003</v>
      </c>
      <c r="G627">
        <v>0.36199999999999999</v>
      </c>
      <c r="H627">
        <v>29</v>
      </c>
      <c r="I627">
        <v>0</v>
      </c>
    </row>
    <row r="628" spans="1:9" x14ac:dyDescent="0.3">
      <c r="A628">
        <v>0</v>
      </c>
      <c r="B628">
        <v>125</v>
      </c>
      <c r="C628">
        <v>68</v>
      </c>
      <c r="D628">
        <v>0</v>
      </c>
      <c r="E628">
        <v>0</v>
      </c>
      <c r="F628">
        <v>24.7</v>
      </c>
      <c r="G628">
        <v>0.20599999999999999</v>
      </c>
      <c r="H628">
        <v>21</v>
      </c>
      <c r="I628">
        <v>0</v>
      </c>
    </row>
    <row r="629" spans="1:9" x14ac:dyDescent="0.3">
      <c r="A629">
        <v>0</v>
      </c>
      <c r="B629">
        <v>132</v>
      </c>
      <c r="C629">
        <v>78</v>
      </c>
      <c r="D629">
        <v>0</v>
      </c>
      <c r="E629">
        <v>0</v>
      </c>
      <c r="F629">
        <v>32.4</v>
      </c>
      <c r="G629">
        <v>0.39300000000000002</v>
      </c>
      <c r="H629">
        <v>21</v>
      </c>
      <c r="I629">
        <v>0</v>
      </c>
    </row>
    <row r="630" spans="1:9" x14ac:dyDescent="0.3">
      <c r="A630">
        <v>5</v>
      </c>
      <c r="B630">
        <v>128</v>
      </c>
      <c r="C630">
        <v>80</v>
      </c>
      <c r="D630">
        <v>0</v>
      </c>
      <c r="E630">
        <v>0</v>
      </c>
      <c r="F630">
        <v>34.6</v>
      </c>
      <c r="G630">
        <v>0.14399999999999999</v>
      </c>
      <c r="H630">
        <v>45</v>
      </c>
      <c r="I630">
        <v>0</v>
      </c>
    </row>
    <row r="631" spans="1:9" x14ac:dyDescent="0.3">
      <c r="A631">
        <v>4</v>
      </c>
      <c r="B631">
        <v>94</v>
      </c>
      <c r="C631">
        <v>65</v>
      </c>
      <c r="D631">
        <v>22</v>
      </c>
      <c r="E631">
        <v>0</v>
      </c>
      <c r="F631">
        <v>24.7</v>
      </c>
      <c r="G631">
        <v>0.14799999999999999</v>
      </c>
      <c r="H631">
        <v>21</v>
      </c>
      <c r="I631">
        <v>0</v>
      </c>
    </row>
    <row r="632" spans="1:9" x14ac:dyDescent="0.3">
      <c r="A632">
        <v>7</v>
      </c>
      <c r="B632">
        <v>114</v>
      </c>
      <c r="C632">
        <v>64</v>
      </c>
      <c r="D632">
        <v>0</v>
      </c>
      <c r="E632">
        <v>0</v>
      </c>
      <c r="F632">
        <v>27.4</v>
      </c>
      <c r="G632">
        <v>0.73199999999999998</v>
      </c>
      <c r="H632">
        <v>34</v>
      </c>
      <c r="I632">
        <v>1</v>
      </c>
    </row>
    <row r="633" spans="1:9" x14ac:dyDescent="0.3">
      <c r="A633">
        <v>0</v>
      </c>
      <c r="B633">
        <v>102</v>
      </c>
      <c r="C633">
        <v>78</v>
      </c>
      <c r="D633">
        <v>40</v>
      </c>
      <c r="E633">
        <v>90</v>
      </c>
      <c r="F633">
        <v>34.5</v>
      </c>
      <c r="G633">
        <v>0.23799999999999999</v>
      </c>
      <c r="H633">
        <v>24</v>
      </c>
      <c r="I633">
        <v>0</v>
      </c>
    </row>
    <row r="634" spans="1:9" x14ac:dyDescent="0.3">
      <c r="A634">
        <v>2</v>
      </c>
      <c r="B634">
        <v>111</v>
      </c>
      <c r="C634">
        <v>60</v>
      </c>
      <c r="D634">
        <v>0</v>
      </c>
      <c r="E634">
        <v>0</v>
      </c>
      <c r="F634">
        <v>26.2</v>
      </c>
      <c r="G634">
        <v>0.34300000000000003</v>
      </c>
      <c r="H634">
        <v>23</v>
      </c>
      <c r="I634">
        <v>0</v>
      </c>
    </row>
    <row r="635" spans="1:9" x14ac:dyDescent="0.3">
      <c r="A635">
        <v>1</v>
      </c>
      <c r="B635">
        <v>128</v>
      </c>
      <c r="C635">
        <v>82</v>
      </c>
      <c r="D635">
        <v>17</v>
      </c>
      <c r="E635">
        <v>183</v>
      </c>
      <c r="F635">
        <v>27.5</v>
      </c>
      <c r="G635">
        <v>0.115</v>
      </c>
      <c r="H635">
        <v>22</v>
      </c>
      <c r="I635">
        <v>0</v>
      </c>
    </row>
    <row r="636" spans="1:9" x14ac:dyDescent="0.3">
      <c r="A636">
        <v>10</v>
      </c>
      <c r="B636">
        <v>92</v>
      </c>
      <c r="C636">
        <v>62</v>
      </c>
      <c r="D636">
        <v>0</v>
      </c>
      <c r="E636">
        <v>0</v>
      </c>
      <c r="F636">
        <v>25.9</v>
      </c>
      <c r="G636">
        <v>0.16700000000000001</v>
      </c>
      <c r="H636">
        <v>31</v>
      </c>
      <c r="I636">
        <v>0</v>
      </c>
    </row>
    <row r="637" spans="1:9" x14ac:dyDescent="0.3">
      <c r="A637">
        <v>13</v>
      </c>
      <c r="B637">
        <v>104</v>
      </c>
      <c r="C637">
        <v>72</v>
      </c>
      <c r="D637">
        <v>0</v>
      </c>
      <c r="E637">
        <v>0</v>
      </c>
      <c r="F637">
        <v>31.2</v>
      </c>
      <c r="G637">
        <v>0.46500000000000002</v>
      </c>
      <c r="H637">
        <v>38</v>
      </c>
      <c r="I637">
        <v>1</v>
      </c>
    </row>
    <row r="638" spans="1:9" x14ac:dyDescent="0.3">
      <c r="A638">
        <v>5</v>
      </c>
      <c r="B638">
        <v>104</v>
      </c>
      <c r="C638">
        <v>74</v>
      </c>
      <c r="D638">
        <v>0</v>
      </c>
      <c r="E638">
        <v>0</v>
      </c>
      <c r="F638">
        <v>28.8</v>
      </c>
      <c r="G638">
        <v>0.153</v>
      </c>
      <c r="H638">
        <v>48</v>
      </c>
      <c r="I638">
        <v>0</v>
      </c>
    </row>
    <row r="639" spans="1:9" x14ac:dyDescent="0.3">
      <c r="A639">
        <v>2</v>
      </c>
      <c r="B639">
        <v>94</v>
      </c>
      <c r="C639">
        <v>76</v>
      </c>
      <c r="D639">
        <v>18</v>
      </c>
      <c r="E639">
        <v>66</v>
      </c>
      <c r="F639">
        <v>31.6</v>
      </c>
      <c r="G639">
        <v>0.64900000000000002</v>
      </c>
      <c r="H639">
        <v>23</v>
      </c>
      <c r="I639">
        <v>0</v>
      </c>
    </row>
    <row r="640" spans="1:9" x14ac:dyDescent="0.3">
      <c r="A640">
        <v>7</v>
      </c>
      <c r="B640">
        <v>97</v>
      </c>
      <c r="C640">
        <v>76</v>
      </c>
      <c r="D640">
        <v>32</v>
      </c>
      <c r="E640">
        <v>91</v>
      </c>
      <c r="F640">
        <v>40.9</v>
      </c>
      <c r="G640">
        <v>0.871</v>
      </c>
      <c r="H640">
        <v>32</v>
      </c>
      <c r="I640">
        <v>1</v>
      </c>
    </row>
    <row r="641" spans="1:9" x14ac:dyDescent="0.3">
      <c r="A641">
        <v>1</v>
      </c>
      <c r="B641">
        <v>100</v>
      </c>
      <c r="C641">
        <v>74</v>
      </c>
      <c r="D641">
        <v>12</v>
      </c>
      <c r="E641">
        <v>46</v>
      </c>
      <c r="F641">
        <v>19.5</v>
      </c>
      <c r="G641">
        <v>0.14899999999999999</v>
      </c>
      <c r="H641">
        <v>28</v>
      </c>
      <c r="I641">
        <v>0</v>
      </c>
    </row>
    <row r="642" spans="1:9" x14ac:dyDescent="0.3">
      <c r="A642">
        <v>0</v>
      </c>
      <c r="B642">
        <v>102</v>
      </c>
      <c r="C642">
        <v>86</v>
      </c>
      <c r="D642">
        <v>17</v>
      </c>
      <c r="E642">
        <v>105</v>
      </c>
      <c r="F642">
        <v>29.3</v>
      </c>
      <c r="G642">
        <v>0.69499999999999995</v>
      </c>
      <c r="H642">
        <v>27</v>
      </c>
      <c r="I642">
        <v>0</v>
      </c>
    </row>
    <row r="643" spans="1:9" x14ac:dyDescent="0.3">
      <c r="A643">
        <v>4</v>
      </c>
      <c r="B643">
        <v>128</v>
      </c>
      <c r="C643">
        <v>70</v>
      </c>
      <c r="D643">
        <v>0</v>
      </c>
      <c r="E643">
        <v>0</v>
      </c>
      <c r="F643">
        <v>34.299999999999997</v>
      </c>
      <c r="G643">
        <v>0.30299999999999999</v>
      </c>
      <c r="H643">
        <v>24</v>
      </c>
      <c r="I643">
        <v>0</v>
      </c>
    </row>
    <row r="644" spans="1:9" x14ac:dyDescent="0.3">
      <c r="A644">
        <v>6</v>
      </c>
      <c r="B644">
        <v>147</v>
      </c>
      <c r="C644">
        <v>80</v>
      </c>
      <c r="D644">
        <v>0</v>
      </c>
      <c r="E644">
        <v>0</v>
      </c>
      <c r="F644">
        <v>29.5</v>
      </c>
      <c r="G644">
        <v>0.17799999999999999</v>
      </c>
      <c r="H644">
        <v>50</v>
      </c>
      <c r="I644">
        <v>1</v>
      </c>
    </row>
    <row r="645" spans="1:9" x14ac:dyDescent="0.3">
      <c r="A645">
        <v>4</v>
      </c>
      <c r="B645">
        <v>90</v>
      </c>
      <c r="C645">
        <v>0</v>
      </c>
      <c r="D645">
        <v>0</v>
      </c>
      <c r="E645">
        <v>0</v>
      </c>
      <c r="F645">
        <v>28</v>
      </c>
      <c r="G645">
        <v>0.61</v>
      </c>
      <c r="H645">
        <v>31</v>
      </c>
      <c r="I645">
        <v>0</v>
      </c>
    </row>
    <row r="646" spans="1:9" x14ac:dyDescent="0.3">
      <c r="A646">
        <v>3</v>
      </c>
      <c r="B646">
        <v>103</v>
      </c>
      <c r="C646">
        <v>72</v>
      </c>
      <c r="D646">
        <v>30</v>
      </c>
      <c r="E646">
        <v>152</v>
      </c>
      <c r="F646">
        <v>27.6</v>
      </c>
      <c r="G646">
        <v>0.73</v>
      </c>
      <c r="H646">
        <v>27</v>
      </c>
      <c r="I646">
        <v>0</v>
      </c>
    </row>
    <row r="647" spans="1:9" x14ac:dyDescent="0.3">
      <c r="A647">
        <v>2</v>
      </c>
      <c r="B647">
        <v>157</v>
      </c>
      <c r="C647">
        <v>74</v>
      </c>
      <c r="D647">
        <v>35</v>
      </c>
      <c r="E647">
        <v>440</v>
      </c>
      <c r="F647">
        <v>39.4</v>
      </c>
      <c r="G647">
        <v>0.13400000000000001</v>
      </c>
      <c r="H647">
        <v>30</v>
      </c>
      <c r="I647">
        <v>0</v>
      </c>
    </row>
    <row r="648" spans="1:9" x14ac:dyDescent="0.3">
      <c r="A648">
        <v>1</v>
      </c>
      <c r="B648">
        <v>167</v>
      </c>
      <c r="C648">
        <v>74</v>
      </c>
      <c r="D648">
        <v>17</v>
      </c>
      <c r="E648">
        <v>144</v>
      </c>
      <c r="F648">
        <v>23.4</v>
      </c>
      <c r="G648">
        <v>0.44700000000000001</v>
      </c>
      <c r="H648">
        <v>33</v>
      </c>
      <c r="I648">
        <v>1</v>
      </c>
    </row>
    <row r="649" spans="1:9" x14ac:dyDescent="0.3">
      <c r="A649">
        <v>0</v>
      </c>
      <c r="B649">
        <v>179</v>
      </c>
      <c r="C649">
        <v>50</v>
      </c>
      <c r="D649">
        <v>36</v>
      </c>
      <c r="E649">
        <v>159</v>
      </c>
      <c r="F649">
        <v>37.799999999999997</v>
      </c>
      <c r="G649">
        <v>0.45500000000000002</v>
      </c>
      <c r="H649">
        <v>22</v>
      </c>
      <c r="I649">
        <v>1</v>
      </c>
    </row>
    <row r="650" spans="1:9" x14ac:dyDescent="0.3">
      <c r="A650">
        <v>11</v>
      </c>
      <c r="B650">
        <v>136</v>
      </c>
      <c r="C650">
        <v>84</v>
      </c>
      <c r="D650">
        <v>35</v>
      </c>
      <c r="E650">
        <v>130</v>
      </c>
      <c r="F650">
        <v>28.3</v>
      </c>
      <c r="G650">
        <v>0.26</v>
      </c>
      <c r="H650">
        <v>42</v>
      </c>
      <c r="I650">
        <v>1</v>
      </c>
    </row>
    <row r="651" spans="1:9" x14ac:dyDescent="0.3">
      <c r="A651">
        <v>0</v>
      </c>
      <c r="B651">
        <v>107</v>
      </c>
      <c r="C651">
        <v>60</v>
      </c>
      <c r="D651">
        <v>25</v>
      </c>
      <c r="E651">
        <v>0</v>
      </c>
      <c r="F651">
        <v>26.4</v>
      </c>
      <c r="G651">
        <v>0.13300000000000001</v>
      </c>
      <c r="H651">
        <v>23</v>
      </c>
      <c r="I651">
        <v>0</v>
      </c>
    </row>
    <row r="652" spans="1:9" x14ac:dyDescent="0.3">
      <c r="A652">
        <v>1</v>
      </c>
      <c r="B652">
        <v>91</v>
      </c>
      <c r="C652">
        <v>54</v>
      </c>
      <c r="D652">
        <v>25</v>
      </c>
      <c r="E652">
        <v>100</v>
      </c>
      <c r="F652">
        <v>25.2</v>
      </c>
      <c r="G652">
        <v>0.23400000000000001</v>
      </c>
      <c r="H652">
        <v>23</v>
      </c>
      <c r="I652">
        <v>0</v>
      </c>
    </row>
    <row r="653" spans="1:9" x14ac:dyDescent="0.3">
      <c r="A653">
        <v>1</v>
      </c>
      <c r="B653">
        <v>117</v>
      </c>
      <c r="C653">
        <v>60</v>
      </c>
      <c r="D653">
        <v>23</v>
      </c>
      <c r="E653">
        <v>106</v>
      </c>
      <c r="F653">
        <v>33.799999999999997</v>
      </c>
      <c r="G653">
        <v>0.46600000000000003</v>
      </c>
      <c r="H653">
        <v>27</v>
      </c>
      <c r="I653">
        <v>0</v>
      </c>
    </row>
    <row r="654" spans="1:9" x14ac:dyDescent="0.3">
      <c r="A654">
        <v>5</v>
      </c>
      <c r="B654">
        <v>123</v>
      </c>
      <c r="C654">
        <v>74</v>
      </c>
      <c r="D654">
        <v>40</v>
      </c>
      <c r="E654">
        <v>77</v>
      </c>
      <c r="F654">
        <v>34.1</v>
      </c>
      <c r="G654">
        <v>0.26900000000000002</v>
      </c>
      <c r="H654">
        <v>28</v>
      </c>
      <c r="I654">
        <v>0</v>
      </c>
    </row>
    <row r="655" spans="1:9" x14ac:dyDescent="0.3">
      <c r="A655">
        <v>2</v>
      </c>
      <c r="B655">
        <v>120</v>
      </c>
      <c r="C655">
        <v>54</v>
      </c>
      <c r="D655">
        <v>0</v>
      </c>
      <c r="E655">
        <v>0</v>
      </c>
      <c r="F655">
        <v>26.8</v>
      </c>
      <c r="G655">
        <v>0.45500000000000002</v>
      </c>
      <c r="H655">
        <v>27</v>
      </c>
      <c r="I655">
        <v>0</v>
      </c>
    </row>
    <row r="656" spans="1:9" x14ac:dyDescent="0.3">
      <c r="A656">
        <v>1</v>
      </c>
      <c r="B656">
        <v>106</v>
      </c>
      <c r="C656">
        <v>70</v>
      </c>
      <c r="D656">
        <v>28</v>
      </c>
      <c r="E656">
        <v>135</v>
      </c>
      <c r="F656">
        <v>34.200000000000003</v>
      </c>
      <c r="G656">
        <v>0.14199999999999999</v>
      </c>
      <c r="H656">
        <v>22</v>
      </c>
      <c r="I656">
        <v>0</v>
      </c>
    </row>
    <row r="657" spans="1:9" x14ac:dyDescent="0.3">
      <c r="A657">
        <v>2</v>
      </c>
      <c r="B657">
        <v>155</v>
      </c>
      <c r="C657">
        <v>52</v>
      </c>
      <c r="D657">
        <v>27</v>
      </c>
      <c r="E657">
        <v>540</v>
      </c>
      <c r="F657">
        <v>38.700000000000003</v>
      </c>
      <c r="G657">
        <v>0.24</v>
      </c>
      <c r="H657">
        <v>25</v>
      </c>
      <c r="I657">
        <v>1</v>
      </c>
    </row>
    <row r="658" spans="1:9" x14ac:dyDescent="0.3">
      <c r="A658">
        <v>2</v>
      </c>
      <c r="B658">
        <v>101</v>
      </c>
      <c r="C658">
        <v>58</v>
      </c>
      <c r="D658">
        <v>35</v>
      </c>
      <c r="E658">
        <v>90</v>
      </c>
      <c r="F658">
        <v>21.8</v>
      </c>
      <c r="G658">
        <v>0.155</v>
      </c>
      <c r="H658">
        <v>22</v>
      </c>
      <c r="I658">
        <v>0</v>
      </c>
    </row>
    <row r="659" spans="1:9" x14ac:dyDescent="0.3">
      <c r="A659">
        <v>1</v>
      </c>
      <c r="B659">
        <v>120</v>
      </c>
      <c r="C659">
        <v>80</v>
      </c>
      <c r="D659">
        <v>48</v>
      </c>
      <c r="E659">
        <v>200</v>
      </c>
      <c r="F659">
        <v>38.9</v>
      </c>
      <c r="G659">
        <v>1.1619999999999999</v>
      </c>
      <c r="H659">
        <v>41</v>
      </c>
      <c r="I659">
        <v>0</v>
      </c>
    </row>
    <row r="660" spans="1:9" x14ac:dyDescent="0.3">
      <c r="A660">
        <v>11</v>
      </c>
      <c r="B660">
        <v>127</v>
      </c>
      <c r="C660">
        <v>106</v>
      </c>
      <c r="D660">
        <v>0</v>
      </c>
      <c r="E660">
        <v>0</v>
      </c>
      <c r="F660">
        <v>39</v>
      </c>
      <c r="G660">
        <v>0.19</v>
      </c>
      <c r="H660">
        <v>51</v>
      </c>
      <c r="I660">
        <v>0</v>
      </c>
    </row>
    <row r="661" spans="1:9" x14ac:dyDescent="0.3">
      <c r="A661">
        <v>3</v>
      </c>
      <c r="B661">
        <v>80</v>
      </c>
      <c r="C661">
        <v>82</v>
      </c>
      <c r="D661">
        <v>31</v>
      </c>
      <c r="E661">
        <v>70</v>
      </c>
      <c r="F661">
        <v>34.200000000000003</v>
      </c>
      <c r="G661">
        <v>1.292</v>
      </c>
      <c r="H661">
        <v>27</v>
      </c>
      <c r="I661">
        <v>1</v>
      </c>
    </row>
    <row r="662" spans="1:9" x14ac:dyDescent="0.3">
      <c r="A662">
        <v>10</v>
      </c>
      <c r="B662">
        <v>162</v>
      </c>
      <c r="C662">
        <v>84</v>
      </c>
      <c r="D662">
        <v>0</v>
      </c>
      <c r="E662">
        <v>0</v>
      </c>
      <c r="F662">
        <v>27.7</v>
      </c>
      <c r="G662">
        <v>0.182</v>
      </c>
      <c r="H662">
        <v>54</v>
      </c>
      <c r="I662">
        <v>0</v>
      </c>
    </row>
    <row r="663" spans="1:9" x14ac:dyDescent="0.3">
      <c r="A663">
        <v>1</v>
      </c>
      <c r="B663">
        <v>199</v>
      </c>
      <c r="C663">
        <v>76</v>
      </c>
      <c r="D663">
        <v>43</v>
      </c>
      <c r="E663">
        <v>0</v>
      </c>
      <c r="F663">
        <v>42.9</v>
      </c>
      <c r="G663">
        <v>1.3939999999999999</v>
      </c>
      <c r="H663">
        <v>22</v>
      </c>
      <c r="I663">
        <v>1</v>
      </c>
    </row>
    <row r="664" spans="1:9" x14ac:dyDescent="0.3">
      <c r="A664">
        <v>8</v>
      </c>
      <c r="B664">
        <v>167</v>
      </c>
      <c r="C664">
        <v>106</v>
      </c>
      <c r="D664">
        <v>46</v>
      </c>
      <c r="E664">
        <v>231</v>
      </c>
      <c r="F664">
        <v>37.6</v>
      </c>
      <c r="G664">
        <v>0.16500000000000001</v>
      </c>
      <c r="H664">
        <v>43</v>
      </c>
      <c r="I664">
        <v>1</v>
      </c>
    </row>
    <row r="665" spans="1:9" x14ac:dyDescent="0.3">
      <c r="A665">
        <v>9</v>
      </c>
      <c r="B665">
        <v>145</v>
      </c>
      <c r="C665">
        <v>80</v>
      </c>
      <c r="D665">
        <v>46</v>
      </c>
      <c r="E665">
        <v>130</v>
      </c>
      <c r="F665">
        <v>37.9</v>
      </c>
      <c r="G665">
        <v>0.63700000000000001</v>
      </c>
      <c r="H665">
        <v>40</v>
      </c>
      <c r="I665">
        <v>1</v>
      </c>
    </row>
    <row r="666" spans="1:9" x14ac:dyDescent="0.3">
      <c r="A666">
        <v>6</v>
      </c>
      <c r="B666">
        <v>115</v>
      </c>
      <c r="C666">
        <v>60</v>
      </c>
      <c r="D666">
        <v>39</v>
      </c>
      <c r="E666">
        <v>0</v>
      </c>
      <c r="F666">
        <v>33.700000000000003</v>
      </c>
      <c r="G666">
        <v>0.245</v>
      </c>
      <c r="H666">
        <v>40</v>
      </c>
      <c r="I666">
        <v>1</v>
      </c>
    </row>
    <row r="667" spans="1:9" x14ac:dyDescent="0.3">
      <c r="A667">
        <v>1</v>
      </c>
      <c r="B667">
        <v>112</v>
      </c>
      <c r="C667">
        <v>80</v>
      </c>
      <c r="D667">
        <v>45</v>
      </c>
      <c r="E667">
        <v>132</v>
      </c>
      <c r="F667">
        <v>34.799999999999997</v>
      </c>
      <c r="G667">
        <v>0.217</v>
      </c>
      <c r="H667">
        <v>24</v>
      </c>
      <c r="I667">
        <v>0</v>
      </c>
    </row>
    <row r="668" spans="1:9" x14ac:dyDescent="0.3">
      <c r="A668">
        <v>4</v>
      </c>
      <c r="B668">
        <v>145</v>
      </c>
      <c r="C668">
        <v>82</v>
      </c>
      <c r="D668">
        <v>18</v>
      </c>
      <c r="E668">
        <v>0</v>
      </c>
      <c r="F668">
        <v>32.5</v>
      </c>
      <c r="G668">
        <v>0.23499999999999999</v>
      </c>
      <c r="H668">
        <v>70</v>
      </c>
      <c r="I668">
        <v>1</v>
      </c>
    </row>
    <row r="669" spans="1:9" x14ac:dyDescent="0.3">
      <c r="A669">
        <v>10</v>
      </c>
      <c r="B669">
        <v>111</v>
      </c>
      <c r="C669">
        <v>70</v>
      </c>
      <c r="D669">
        <v>27</v>
      </c>
      <c r="E669">
        <v>0</v>
      </c>
      <c r="F669">
        <v>27.5</v>
      </c>
      <c r="G669">
        <v>0.14099999999999999</v>
      </c>
      <c r="H669">
        <v>40</v>
      </c>
      <c r="I669">
        <v>1</v>
      </c>
    </row>
    <row r="670" spans="1:9" x14ac:dyDescent="0.3">
      <c r="A670">
        <v>6</v>
      </c>
      <c r="B670">
        <v>98</v>
      </c>
      <c r="C670">
        <v>58</v>
      </c>
      <c r="D670">
        <v>33</v>
      </c>
      <c r="E670">
        <v>190</v>
      </c>
      <c r="F670">
        <v>34</v>
      </c>
      <c r="G670">
        <v>0.43</v>
      </c>
      <c r="H670">
        <v>43</v>
      </c>
      <c r="I670">
        <v>0</v>
      </c>
    </row>
    <row r="671" spans="1:9" x14ac:dyDescent="0.3">
      <c r="A671">
        <v>9</v>
      </c>
      <c r="B671">
        <v>154</v>
      </c>
      <c r="C671">
        <v>78</v>
      </c>
      <c r="D671">
        <v>30</v>
      </c>
      <c r="E671">
        <v>100</v>
      </c>
      <c r="F671">
        <v>30.9</v>
      </c>
      <c r="G671">
        <v>0.16400000000000001</v>
      </c>
      <c r="H671">
        <v>45</v>
      </c>
      <c r="I671">
        <v>0</v>
      </c>
    </row>
    <row r="672" spans="1:9" x14ac:dyDescent="0.3">
      <c r="A672">
        <v>6</v>
      </c>
      <c r="B672">
        <v>165</v>
      </c>
      <c r="C672">
        <v>68</v>
      </c>
      <c r="D672">
        <v>26</v>
      </c>
      <c r="E672">
        <v>168</v>
      </c>
      <c r="F672">
        <v>33.6</v>
      </c>
      <c r="G672">
        <v>0.63100000000000001</v>
      </c>
      <c r="H672">
        <v>49</v>
      </c>
      <c r="I672">
        <v>0</v>
      </c>
    </row>
    <row r="673" spans="1:9" x14ac:dyDescent="0.3">
      <c r="A673">
        <v>1</v>
      </c>
      <c r="B673">
        <v>99</v>
      </c>
      <c r="C673">
        <v>58</v>
      </c>
      <c r="D673">
        <v>10</v>
      </c>
      <c r="E673">
        <v>0</v>
      </c>
      <c r="F673">
        <v>25.4</v>
      </c>
      <c r="G673">
        <v>0.55100000000000005</v>
      </c>
      <c r="H673">
        <v>21</v>
      </c>
      <c r="I673">
        <v>0</v>
      </c>
    </row>
    <row r="674" spans="1:9" x14ac:dyDescent="0.3">
      <c r="A674">
        <v>10</v>
      </c>
      <c r="B674">
        <v>68</v>
      </c>
      <c r="C674">
        <v>106</v>
      </c>
      <c r="D674">
        <v>23</v>
      </c>
      <c r="E674">
        <v>49</v>
      </c>
      <c r="F674">
        <v>35.5</v>
      </c>
      <c r="G674">
        <v>0.28499999999999998</v>
      </c>
      <c r="H674">
        <v>47</v>
      </c>
      <c r="I674">
        <v>0</v>
      </c>
    </row>
    <row r="675" spans="1:9" x14ac:dyDescent="0.3">
      <c r="A675">
        <v>3</v>
      </c>
      <c r="B675">
        <v>123</v>
      </c>
      <c r="C675">
        <v>100</v>
      </c>
      <c r="D675">
        <v>35</v>
      </c>
      <c r="E675">
        <v>240</v>
      </c>
      <c r="F675">
        <v>57.3</v>
      </c>
      <c r="G675">
        <v>0.88</v>
      </c>
      <c r="H675">
        <v>22</v>
      </c>
      <c r="I675">
        <v>0</v>
      </c>
    </row>
    <row r="676" spans="1:9" x14ac:dyDescent="0.3">
      <c r="A676">
        <v>8</v>
      </c>
      <c r="B676">
        <v>91</v>
      </c>
      <c r="C676">
        <v>82</v>
      </c>
      <c r="D676">
        <v>0</v>
      </c>
      <c r="E676">
        <v>0</v>
      </c>
      <c r="F676">
        <v>35.6</v>
      </c>
      <c r="G676">
        <v>0.58699999999999997</v>
      </c>
      <c r="H676">
        <v>68</v>
      </c>
      <c r="I676">
        <v>0</v>
      </c>
    </row>
    <row r="677" spans="1:9" x14ac:dyDescent="0.3">
      <c r="A677">
        <v>6</v>
      </c>
      <c r="B677">
        <v>195</v>
      </c>
      <c r="C677">
        <v>70</v>
      </c>
      <c r="D677">
        <v>0</v>
      </c>
      <c r="E677">
        <v>0</v>
      </c>
      <c r="F677">
        <v>30.9</v>
      </c>
      <c r="G677">
        <v>0.32800000000000001</v>
      </c>
      <c r="H677">
        <v>31</v>
      </c>
      <c r="I677">
        <v>1</v>
      </c>
    </row>
    <row r="678" spans="1:9" x14ac:dyDescent="0.3">
      <c r="A678">
        <v>9</v>
      </c>
      <c r="B678">
        <v>156</v>
      </c>
      <c r="C678">
        <v>86</v>
      </c>
      <c r="D678">
        <v>0</v>
      </c>
      <c r="E678">
        <v>0</v>
      </c>
      <c r="F678">
        <v>24.8</v>
      </c>
      <c r="G678">
        <v>0.23</v>
      </c>
      <c r="H678">
        <v>53</v>
      </c>
      <c r="I678">
        <v>1</v>
      </c>
    </row>
    <row r="679" spans="1:9" x14ac:dyDescent="0.3">
      <c r="A679">
        <v>0</v>
      </c>
      <c r="B679">
        <v>93</v>
      </c>
      <c r="C679">
        <v>60</v>
      </c>
      <c r="D679">
        <v>0</v>
      </c>
      <c r="E679">
        <v>0</v>
      </c>
      <c r="F679">
        <v>35.299999999999997</v>
      </c>
      <c r="G679">
        <v>0.26300000000000001</v>
      </c>
      <c r="H679">
        <v>25</v>
      </c>
      <c r="I679">
        <v>0</v>
      </c>
    </row>
    <row r="680" spans="1:9" x14ac:dyDescent="0.3">
      <c r="A680">
        <v>3</v>
      </c>
      <c r="B680">
        <v>121</v>
      </c>
      <c r="C680">
        <v>52</v>
      </c>
      <c r="D680">
        <v>0</v>
      </c>
      <c r="E680">
        <v>0</v>
      </c>
      <c r="F680">
        <v>36</v>
      </c>
      <c r="G680">
        <v>0.127</v>
      </c>
      <c r="H680">
        <v>25</v>
      </c>
      <c r="I680">
        <v>1</v>
      </c>
    </row>
    <row r="681" spans="1:9" x14ac:dyDescent="0.3">
      <c r="A681">
        <v>2</v>
      </c>
      <c r="B681">
        <v>101</v>
      </c>
      <c r="C681">
        <v>58</v>
      </c>
      <c r="D681">
        <v>17</v>
      </c>
      <c r="E681">
        <v>265</v>
      </c>
      <c r="F681">
        <v>24.2</v>
      </c>
      <c r="G681">
        <v>0.61399999999999999</v>
      </c>
      <c r="H681">
        <v>23</v>
      </c>
      <c r="I681">
        <v>0</v>
      </c>
    </row>
    <row r="682" spans="1:9" x14ac:dyDescent="0.3">
      <c r="A682">
        <v>2</v>
      </c>
      <c r="B682">
        <v>56</v>
      </c>
      <c r="C682">
        <v>56</v>
      </c>
      <c r="D682">
        <v>28</v>
      </c>
      <c r="E682">
        <v>45</v>
      </c>
      <c r="F682">
        <v>24.2</v>
      </c>
      <c r="G682">
        <v>0.33200000000000002</v>
      </c>
      <c r="H682">
        <v>22</v>
      </c>
      <c r="I682">
        <v>0</v>
      </c>
    </row>
    <row r="683" spans="1:9" x14ac:dyDescent="0.3">
      <c r="A683">
        <v>0</v>
      </c>
      <c r="B683">
        <v>162</v>
      </c>
      <c r="C683">
        <v>76</v>
      </c>
      <c r="D683">
        <v>36</v>
      </c>
      <c r="E683">
        <v>0</v>
      </c>
      <c r="F683">
        <v>49.6</v>
      </c>
      <c r="G683">
        <v>0.36399999999999999</v>
      </c>
      <c r="H683">
        <v>26</v>
      </c>
      <c r="I683">
        <v>1</v>
      </c>
    </row>
    <row r="684" spans="1:9" x14ac:dyDescent="0.3">
      <c r="A684">
        <v>0</v>
      </c>
      <c r="B684">
        <v>95</v>
      </c>
      <c r="C684">
        <v>64</v>
      </c>
      <c r="D684">
        <v>39</v>
      </c>
      <c r="E684">
        <v>105</v>
      </c>
      <c r="F684">
        <v>44.6</v>
      </c>
      <c r="G684">
        <v>0.36599999999999999</v>
      </c>
      <c r="H684">
        <v>22</v>
      </c>
      <c r="I684">
        <v>0</v>
      </c>
    </row>
    <row r="685" spans="1:9" x14ac:dyDescent="0.3">
      <c r="A685">
        <v>4</v>
      </c>
      <c r="B685">
        <v>125</v>
      </c>
      <c r="C685">
        <v>80</v>
      </c>
      <c r="D685">
        <v>0</v>
      </c>
      <c r="E685">
        <v>0</v>
      </c>
      <c r="F685">
        <v>32.299999999999997</v>
      </c>
      <c r="G685">
        <v>0.53600000000000003</v>
      </c>
      <c r="H685">
        <v>27</v>
      </c>
      <c r="I685">
        <v>1</v>
      </c>
    </row>
    <row r="686" spans="1:9" x14ac:dyDescent="0.3">
      <c r="A686">
        <v>5</v>
      </c>
      <c r="B686">
        <v>136</v>
      </c>
      <c r="C686">
        <v>82</v>
      </c>
      <c r="D686">
        <v>0</v>
      </c>
      <c r="E686">
        <v>0</v>
      </c>
      <c r="F686">
        <v>0</v>
      </c>
      <c r="G686">
        <v>0.64</v>
      </c>
      <c r="H686">
        <v>69</v>
      </c>
      <c r="I686">
        <v>0</v>
      </c>
    </row>
    <row r="687" spans="1:9" x14ac:dyDescent="0.3">
      <c r="A687">
        <v>2</v>
      </c>
      <c r="B687">
        <v>129</v>
      </c>
      <c r="C687">
        <v>74</v>
      </c>
      <c r="D687">
        <v>26</v>
      </c>
      <c r="E687">
        <v>205</v>
      </c>
      <c r="F687">
        <v>33.200000000000003</v>
      </c>
      <c r="G687">
        <v>0.59099999999999997</v>
      </c>
      <c r="H687">
        <v>25</v>
      </c>
      <c r="I687">
        <v>0</v>
      </c>
    </row>
    <row r="688" spans="1:9" x14ac:dyDescent="0.3">
      <c r="A688">
        <v>3</v>
      </c>
      <c r="B688">
        <v>130</v>
      </c>
      <c r="C688">
        <v>64</v>
      </c>
      <c r="D688">
        <v>0</v>
      </c>
      <c r="E688">
        <v>0</v>
      </c>
      <c r="F688">
        <v>23.1</v>
      </c>
      <c r="G688">
        <v>0.314</v>
      </c>
      <c r="H688">
        <v>22</v>
      </c>
      <c r="I688">
        <v>0</v>
      </c>
    </row>
    <row r="689" spans="1:9" x14ac:dyDescent="0.3">
      <c r="A689">
        <v>1</v>
      </c>
      <c r="B689">
        <v>107</v>
      </c>
      <c r="C689">
        <v>50</v>
      </c>
      <c r="D689">
        <v>19</v>
      </c>
      <c r="E689">
        <v>0</v>
      </c>
      <c r="F689">
        <v>28.3</v>
      </c>
      <c r="G689">
        <v>0.18099999999999999</v>
      </c>
      <c r="H689">
        <v>29</v>
      </c>
      <c r="I689">
        <v>0</v>
      </c>
    </row>
    <row r="690" spans="1:9" x14ac:dyDescent="0.3">
      <c r="A690">
        <v>1</v>
      </c>
      <c r="B690">
        <v>140</v>
      </c>
      <c r="C690">
        <v>74</v>
      </c>
      <c r="D690">
        <v>26</v>
      </c>
      <c r="E690">
        <v>180</v>
      </c>
      <c r="F690">
        <v>24.1</v>
      </c>
      <c r="G690">
        <v>0.82799999999999996</v>
      </c>
      <c r="H690">
        <v>23</v>
      </c>
      <c r="I690">
        <v>0</v>
      </c>
    </row>
    <row r="691" spans="1:9" x14ac:dyDescent="0.3">
      <c r="A691">
        <v>1</v>
      </c>
      <c r="B691">
        <v>144</v>
      </c>
      <c r="C691">
        <v>82</v>
      </c>
      <c r="D691">
        <v>46</v>
      </c>
      <c r="E691">
        <v>180</v>
      </c>
      <c r="F691">
        <v>46.1</v>
      </c>
      <c r="G691">
        <v>0.33500000000000002</v>
      </c>
      <c r="H691">
        <v>46</v>
      </c>
      <c r="I691">
        <v>1</v>
      </c>
    </row>
    <row r="692" spans="1:9" x14ac:dyDescent="0.3">
      <c r="A692">
        <v>8</v>
      </c>
      <c r="B692">
        <v>107</v>
      </c>
      <c r="C692">
        <v>80</v>
      </c>
      <c r="D692">
        <v>0</v>
      </c>
      <c r="E692">
        <v>0</v>
      </c>
      <c r="F692">
        <v>24.6</v>
      </c>
      <c r="G692">
        <v>0.85599999999999998</v>
      </c>
      <c r="H692">
        <v>34</v>
      </c>
      <c r="I692">
        <v>0</v>
      </c>
    </row>
    <row r="693" spans="1:9" x14ac:dyDescent="0.3">
      <c r="A693">
        <v>13</v>
      </c>
      <c r="B693">
        <v>158</v>
      </c>
      <c r="C693">
        <v>114</v>
      </c>
      <c r="D693">
        <v>0</v>
      </c>
      <c r="E693">
        <v>0</v>
      </c>
      <c r="F693">
        <v>42.3</v>
      </c>
      <c r="G693">
        <v>0.25700000000000001</v>
      </c>
      <c r="H693">
        <v>44</v>
      </c>
      <c r="I693">
        <v>1</v>
      </c>
    </row>
    <row r="694" spans="1:9" x14ac:dyDescent="0.3">
      <c r="A694">
        <v>2</v>
      </c>
      <c r="B694">
        <v>121</v>
      </c>
      <c r="C694">
        <v>70</v>
      </c>
      <c r="D694">
        <v>32</v>
      </c>
      <c r="E694">
        <v>95</v>
      </c>
      <c r="F694">
        <v>39.1</v>
      </c>
      <c r="G694">
        <v>0.88600000000000001</v>
      </c>
      <c r="H694">
        <v>23</v>
      </c>
      <c r="I694">
        <v>0</v>
      </c>
    </row>
    <row r="695" spans="1:9" x14ac:dyDescent="0.3">
      <c r="A695">
        <v>7</v>
      </c>
      <c r="B695">
        <v>129</v>
      </c>
      <c r="C695">
        <v>68</v>
      </c>
      <c r="D695">
        <v>49</v>
      </c>
      <c r="E695">
        <v>125</v>
      </c>
      <c r="F695">
        <v>38.5</v>
      </c>
      <c r="G695">
        <v>0.439</v>
      </c>
      <c r="H695">
        <v>43</v>
      </c>
      <c r="I695">
        <v>1</v>
      </c>
    </row>
    <row r="696" spans="1:9" x14ac:dyDescent="0.3">
      <c r="A696">
        <v>2</v>
      </c>
      <c r="B696">
        <v>90</v>
      </c>
      <c r="C696">
        <v>60</v>
      </c>
      <c r="D696">
        <v>0</v>
      </c>
      <c r="E696">
        <v>0</v>
      </c>
      <c r="F696">
        <v>23.5</v>
      </c>
      <c r="G696">
        <v>0.191</v>
      </c>
      <c r="H696">
        <v>25</v>
      </c>
      <c r="I696">
        <v>0</v>
      </c>
    </row>
    <row r="697" spans="1:9" x14ac:dyDescent="0.3">
      <c r="A697">
        <v>7</v>
      </c>
      <c r="B697">
        <v>142</v>
      </c>
      <c r="C697">
        <v>90</v>
      </c>
      <c r="D697">
        <v>24</v>
      </c>
      <c r="E697">
        <v>480</v>
      </c>
      <c r="F697">
        <v>30.4</v>
      </c>
      <c r="G697">
        <v>0.128</v>
      </c>
      <c r="H697">
        <v>43</v>
      </c>
      <c r="I697">
        <v>1</v>
      </c>
    </row>
    <row r="698" spans="1:9" x14ac:dyDescent="0.3">
      <c r="A698">
        <v>3</v>
      </c>
      <c r="B698">
        <v>169</v>
      </c>
      <c r="C698">
        <v>74</v>
      </c>
      <c r="D698">
        <v>19</v>
      </c>
      <c r="E698">
        <v>125</v>
      </c>
      <c r="F698">
        <v>29.9</v>
      </c>
      <c r="G698">
        <v>0.26800000000000002</v>
      </c>
      <c r="H698">
        <v>31</v>
      </c>
      <c r="I698">
        <v>1</v>
      </c>
    </row>
    <row r="699" spans="1:9" x14ac:dyDescent="0.3">
      <c r="A699">
        <v>0</v>
      </c>
      <c r="B699">
        <v>99</v>
      </c>
      <c r="C699">
        <v>0</v>
      </c>
      <c r="D699">
        <v>0</v>
      </c>
      <c r="E699">
        <v>0</v>
      </c>
      <c r="F699">
        <v>25</v>
      </c>
      <c r="G699">
        <v>0.253</v>
      </c>
      <c r="H699">
        <v>22</v>
      </c>
      <c r="I699">
        <v>0</v>
      </c>
    </row>
    <row r="700" spans="1:9" x14ac:dyDescent="0.3">
      <c r="A700">
        <v>4</v>
      </c>
      <c r="B700">
        <v>127</v>
      </c>
      <c r="C700">
        <v>88</v>
      </c>
      <c r="D700">
        <v>11</v>
      </c>
      <c r="E700">
        <v>155</v>
      </c>
      <c r="F700">
        <v>34.5</v>
      </c>
      <c r="G700">
        <v>0.59799999999999998</v>
      </c>
      <c r="H700">
        <v>28</v>
      </c>
      <c r="I700">
        <v>0</v>
      </c>
    </row>
    <row r="701" spans="1:9" x14ac:dyDescent="0.3">
      <c r="A701">
        <v>4</v>
      </c>
      <c r="B701">
        <v>118</v>
      </c>
      <c r="C701">
        <v>70</v>
      </c>
      <c r="D701">
        <v>0</v>
      </c>
      <c r="E701">
        <v>0</v>
      </c>
      <c r="F701">
        <v>44.5</v>
      </c>
      <c r="G701">
        <v>0.90400000000000003</v>
      </c>
      <c r="H701">
        <v>26</v>
      </c>
      <c r="I701">
        <v>0</v>
      </c>
    </row>
    <row r="702" spans="1:9" x14ac:dyDescent="0.3">
      <c r="A702">
        <v>2</v>
      </c>
      <c r="B702">
        <v>122</v>
      </c>
      <c r="C702">
        <v>76</v>
      </c>
      <c r="D702">
        <v>27</v>
      </c>
      <c r="E702">
        <v>200</v>
      </c>
      <c r="F702">
        <v>35.9</v>
      </c>
      <c r="G702">
        <v>0.48299999999999998</v>
      </c>
      <c r="H702">
        <v>26</v>
      </c>
      <c r="I702">
        <v>0</v>
      </c>
    </row>
    <row r="703" spans="1:9" x14ac:dyDescent="0.3">
      <c r="A703">
        <v>6</v>
      </c>
      <c r="B703">
        <v>125</v>
      </c>
      <c r="C703">
        <v>78</v>
      </c>
      <c r="D703">
        <v>31</v>
      </c>
      <c r="E703">
        <v>0</v>
      </c>
      <c r="F703">
        <v>27.6</v>
      </c>
      <c r="G703">
        <v>0.56499999999999995</v>
      </c>
      <c r="H703">
        <v>49</v>
      </c>
      <c r="I703">
        <v>1</v>
      </c>
    </row>
    <row r="704" spans="1:9" x14ac:dyDescent="0.3">
      <c r="A704">
        <v>1</v>
      </c>
      <c r="B704">
        <v>168</v>
      </c>
      <c r="C704">
        <v>88</v>
      </c>
      <c r="D704">
        <v>29</v>
      </c>
      <c r="E704">
        <v>0</v>
      </c>
      <c r="F704">
        <v>35</v>
      </c>
      <c r="G704">
        <v>0.90500000000000003</v>
      </c>
      <c r="H704">
        <v>52</v>
      </c>
      <c r="I704">
        <v>1</v>
      </c>
    </row>
    <row r="705" spans="1:9" x14ac:dyDescent="0.3">
      <c r="A705">
        <v>2</v>
      </c>
      <c r="B705">
        <v>129</v>
      </c>
      <c r="C705">
        <v>0</v>
      </c>
      <c r="D705">
        <v>0</v>
      </c>
      <c r="E705">
        <v>0</v>
      </c>
      <c r="F705">
        <v>38.5</v>
      </c>
      <c r="G705">
        <v>0.30399999999999999</v>
      </c>
      <c r="H705">
        <v>41</v>
      </c>
      <c r="I705">
        <v>0</v>
      </c>
    </row>
    <row r="706" spans="1:9" x14ac:dyDescent="0.3">
      <c r="A706">
        <v>4</v>
      </c>
      <c r="B706">
        <v>110</v>
      </c>
      <c r="C706">
        <v>76</v>
      </c>
      <c r="D706">
        <v>20</v>
      </c>
      <c r="E706">
        <v>100</v>
      </c>
      <c r="F706">
        <v>28.4</v>
      </c>
      <c r="G706">
        <v>0.11799999999999999</v>
      </c>
      <c r="H706">
        <v>27</v>
      </c>
      <c r="I706">
        <v>0</v>
      </c>
    </row>
    <row r="707" spans="1:9" x14ac:dyDescent="0.3">
      <c r="A707">
        <v>6</v>
      </c>
      <c r="B707">
        <v>80</v>
      </c>
      <c r="C707">
        <v>80</v>
      </c>
      <c r="D707">
        <v>36</v>
      </c>
      <c r="E707">
        <v>0</v>
      </c>
      <c r="F707">
        <v>39.799999999999997</v>
      </c>
      <c r="G707">
        <v>0.17699999999999999</v>
      </c>
      <c r="H707">
        <v>28</v>
      </c>
      <c r="I707">
        <v>0</v>
      </c>
    </row>
    <row r="708" spans="1:9" x14ac:dyDescent="0.3">
      <c r="A708">
        <v>10</v>
      </c>
      <c r="B708">
        <v>115</v>
      </c>
      <c r="C708">
        <v>0</v>
      </c>
      <c r="D708">
        <v>0</v>
      </c>
      <c r="E708">
        <v>0</v>
      </c>
      <c r="F708">
        <v>0</v>
      </c>
      <c r="G708">
        <v>0.26100000000000001</v>
      </c>
      <c r="H708">
        <v>30</v>
      </c>
      <c r="I708">
        <v>1</v>
      </c>
    </row>
    <row r="709" spans="1:9" x14ac:dyDescent="0.3">
      <c r="A709">
        <v>2</v>
      </c>
      <c r="B709">
        <v>127</v>
      </c>
      <c r="C709">
        <v>46</v>
      </c>
      <c r="D709">
        <v>21</v>
      </c>
      <c r="E709">
        <v>335</v>
      </c>
      <c r="F709">
        <v>34.4</v>
      </c>
      <c r="G709">
        <v>0.17599999999999999</v>
      </c>
      <c r="H709">
        <v>22</v>
      </c>
      <c r="I709">
        <v>0</v>
      </c>
    </row>
    <row r="710" spans="1:9" x14ac:dyDescent="0.3">
      <c r="A710">
        <v>9</v>
      </c>
      <c r="B710">
        <v>164</v>
      </c>
      <c r="C710">
        <v>78</v>
      </c>
      <c r="D710">
        <v>0</v>
      </c>
      <c r="E710">
        <v>0</v>
      </c>
      <c r="F710">
        <v>32.799999999999997</v>
      </c>
      <c r="G710">
        <v>0.14799999999999999</v>
      </c>
      <c r="H710">
        <v>45</v>
      </c>
      <c r="I710">
        <v>1</v>
      </c>
    </row>
    <row r="711" spans="1:9" x14ac:dyDescent="0.3">
      <c r="A711">
        <v>2</v>
      </c>
      <c r="B711">
        <v>93</v>
      </c>
      <c r="C711">
        <v>64</v>
      </c>
      <c r="D711">
        <v>32</v>
      </c>
      <c r="E711">
        <v>160</v>
      </c>
      <c r="F711">
        <v>38</v>
      </c>
      <c r="G711">
        <v>0.67400000000000004</v>
      </c>
      <c r="H711">
        <v>23</v>
      </c>
      <c r="I711">
        <v>1</v>
      </c>
    </row>
    <row r="712" spans="1:9" x14ac:dyDescent="0.3">
      <c r="A712">
        <v>3</v>
      </c>
      <c r="B712">
        <v>158</v>
      </c>
      <c r="C712">
        <v>64</v>
      </c>
      <c r="D712">
        <v>13</v>
      </c>
      <c r="E712">
        <v>387</v>
      </c>
      <c r="F712">
        <v>31.2</v>
      </c>
      <c r="G712">
        <v>0.29499999999999998</v>
      </c>
      <c r="H712">
        <v>24</v>
      </c>
      <c r="I712">
        <v>0</v>
      </c>
    </row>
    <row r="713" spans="1:9" x14ac:dyDescent="0.3">
      <c r="A713">
        <v>5</v>
      </c>
      <c r="B713">
        <v>126</v>
      </c>
      <c r="C713">
        <v>78</v>
      </c>
      <c r="D713">
        <v>27</v>
      </c>
      <c r="E713">
        <v>22</v>
      </c>
      <c r="F713">
        <v>29.6</v>
      </c>
      <c r="G713">
        <v>0.439</v>
      </c>
      <c r="H713">
        <v>40</v>
      </c>
      <c r="I713">
        <v>0</v>
      </c>
    </row>
    <row r="714" spans="1:9" x14ac:dyDescent="0.3">
      <c r="A714">
        <v>10</v>
      </c>
      <c r="B714">
        <v>129</v>
      </c>
      <c r="C714">
        <v>62</v>
      </c>
      <c r="D714">
        <v>36</v>
      </c>
      <c r="E714">
        <v>0</v>
      </c>
      <c r="F714">
        <v>41.2</v>
      </c>
      <c r="G714">
        <v>0.441</v>
      </c>
      <c r="H714">
        <v>38</v>
      </c>
      <c r="I714">
        <v>1</v>
      </c>
    </row>
    <row r="715" spans="1:9" x14ac:dyDescent="0.3">
      <c r="A715">
        <v>0</v>
      </c>
      <c r="B715">
        <v>134</v>
      </c>
      <c r="C715">
        <v>58</v>
      </c>
      <c r="D715">
        <v>20</v>
      </c>
      <c r="E715">
        <v>291</v>
      </c>
      <c r="F715">
        <v>26.4</v>
      </c>
      <c r="G715">
        <v>0.35199999999999998</v>
      </c>
      <c r="H715">
        <v>21</v>
      </c>
      <c r="I715">
        <v>0</v>
      </c>
    </row>
    <row r="716" spans="1:9" x14ac:dyDescent="0.3">
      <c r="A716">
        <v>3</v>
      </c>
      <c r="B716">
        <v>102</v>
      </c>
      <c r="C716">
        <v>74</v>
      </c>
      <c r="D716">
        <v>0</v>
      </c>
      <c r="E716">
        <v>0</v>
      </c>
      <c r="F716">
        <v>29.5</v>
      </c>
      <c r="G716">
        <v>0.121</v>
      </c>
      <c r="H716">
        <v>32</v>
      </c>
      <c r="I716">
        <v>0</v>
      </c>
    </row>
    <row r="717" spans="1:9" x14ac:dyDescent="0.3">
      <c r="A717">
        <v>7</v>
      </c>
      <c r="B717">
        <v>187</v>
      </c>
      <c r="C717">
        <v>50</v>
      </c>
      <c r="D717">
        <v>33</v>
      </c>
      <c r="E717">
        <v>392</v>
      </c>
      <c r="F717">
        <v>33.9</v>
      </c>
      <c r="G717">
        <v>0.82599999999999996</v>
      </c>
      <c r="H717">
        <v>34</v>
      </c>
      <c r="I717">
        <v>1</v>
      </c>
    </row>
    <row r="718" spans="1:9" x14ac:dyDescent="0.3">
      <c r="A718">
        <v>3</v>
      </c>
      <c r="B718">
        <v>173</v>
      </c>
      <c r="C718">
        <v>78</v>
      </c>
      <c r="D718">
        <v>39</v>
      </c>
      <c r="E718">
        <v>185</v>
      </c>
      <c r="F718">
        <v>33.799999999999997</v>
      </c>
      <c r="G718">
        <v>0.97</v>
      </c>
      <c r="H718">
        <v>31</v>
      </c>
      <c r="I718">
        <v>1</v>
      </c>
    </row>
    <row r="719" spans="1:9" x14ac:dyDescent="0.3">
      <c r="A719">
        <v>10</v>
      </c>
      <c r="B719">
        <v>94</v>
      </c>
      <c r="C719">
        <v>72</v>
      </c>
      <c r="D719">
        <v>18</v>
      </c>
      <c r="E719">
        <v>0</v>
      </c>
      <c r="F719">
        <v>23.1</v>
      </c>
      <c r="G719">
        <v>0.59499999999999997</v>
      </c>
      <c r="H719">
        <v>56</v>
      </c>
      <c r="I719">
        <v>0</v>
      </c>
    </row>
    <row r="720" spans="1:9" x14ac:dyDescent="0.3">
      <c r="A720">
        <v>1</v>
      </c>
      <c r="B720">
        <v>108</v>
      </c>
      <c r="C720">
        <v>60</v>
      </c>
      <c r="D720">
        <v>46</v>
      </c>
      <c r="E720">
        <v>178</v>
      </c>
      <c r="F720">
        <v>35.5</v>
      </c>
      <c r="G720">
        <v>0.41499999999999998</v>
      </c>
      <c r="H720">
        <v>24</v>
      </c>
      <c r="I720">
        <v>0</v>
      </c>
    </row>
    <row r="721" spans="1:9" x14ac:dyDescent="0.3">
      <c r="A721">
        <v>5</v>
      </c>
      <c r="B721">
        <v>97</v>
      </c>
      <c r="C721">
        <v>76</v>
      </c>
      <c r="D721">
        <v>27</v>
      </c>
      <c r="E721">
        <v>0</v>
      </c>
      <c r="F721">
        <v>35.6</v>
      </c>
      <c r="G721">
        <v>0.378</v>
      </c>
      <c r="H721">
        <v>52</v>
      </c>
      <c r="I721">
        <v>1</v>
      </c>
    </row>
    <row r="722" spans="1:9" x14ac:dyDescent="0.3">
      <c r="A722">
        <v>4</v>
      </c>
      <c r="B722">
        <v>83</v>
      </c>
      <c r="C722">
        <v>86</v>
      </c>
      <c r="D722">
        <v>19</v>
      </c>
      <c r="E722">
        <v>0</v>
      </c>
      <c r="F722">
        <v>29.3</v>
      </c>
      <c r="G722">
        <v>0.317</v>
      </c>
      <c r="H722">
        <v>34</v>
      </c>
      <c r="I722">
        <v>0</v>
      </c>
    </row>
    <row r="723" spans="1:9" x14ac:dyDescent="0.3">
      <c r="A723">
        <v>1</v>
      </c>
      <c r="B723">
        <v>114</v>
      </c>
      <c r="C723">
        <v>66</v>
      </c>
      <c r="D723">
        <v>36</v>
      </c>
      <c r="E723">
        <v>200</v>
      </c>
      <c r="F723">
        <v>38.1</v>
      </c>
      <c r="G723">
        <v>0.28899999999999998</v>
      </c>
      <c r="H723">
        <v>21</v>
      </c>
      <c r="I723">
        <v>0</v>
      </c>
    </row>
    <row r="724" spans="1:9" x14ac:dyDescent="0.3">
      <c r="A724">
        <v>1</v>
      </c>
      <c r="B724">
        <v>149</v>
      </c>
      <c r="C724">
        <v>68</v>
      </c>
      <c r="D724">
        <v>29</v>
      </c>
      <c r="E724">
        <v>127</v>
      </c>
      <c r="F724">
        <v>29.3</v>
      </c>
      <c r="G724">
        <v>0.34899999999999998</v>
      </c>
      <c r="H724">
        <v>42</v>
      </c>
      <c r="I724">
        <v>1</v>
      </c>
    </row>
    <row r="725" spans="1:9" x14ac:dyDescent="0.3">
      <c r="A725">
        <v>5</v>
      </c>
      <c r="B725">
        <v>117</v>
      </c>
      <c r="C725">
        <v>86</v>
      </c>
      <c r="D725">
        <v>30</v>
      </c>
      <c r="E725">
        <v>105</v>
      </c>
      <c r="F725">
        <v>39.1</v>
      </c>
      <c r="G725">
        <v>0.251</v>
      </c>
      <c r="H725">
        <v>42</v>
      </c>
      <c r="I725">
        <v>0</v>
      </c>
    </row>
    <row r="726" spans="1:9" x14ac:dyDescent="0.3">
      <c r="A726">
        <v>1</v>
      </c>
      <c r="B726">
        <v>111</v>
      </c>
      <c r="C726">
        <v>94</v>
      </c>
      <c r="D726">
        <v>0</v>
      </c>
      <c r="E726">
        <v>0</v>
      </c>
      <c r="F726">
        <v>32.799999999999997</v>
      </c>
      <c r="G726">
        <v>0.26500000000000001</v>
      </c>
      <c r="H726">
        <v>45</v>
      </c>
      <c r="I726">
        <v>0</v>
      </c>
    </row>
    <row r="727" spans="1:9" x14ac:dyDescent="0.3">
      <c r="A727">
        <v>4</v>
      </c>
      <c r="B727">
        <v>112</v>
      </c>
      <c r="C727">
        <v>78</v>
      </c>
      <c r="D727">
        <v>40</v>
      </c>
      <c r="E727">
        <v>0</v>
      </c>
      <c r="F727">
        <v>39.4</v>
      </c>
      <c r="G727">
        <v>0.23599999999999999</v>
      </c>
      <c r="H727">
        <v>38</v>
      </c>
      <c r="I727">
        <v>0</v>
      </c>
    </row>
    <row r="728" spans="1:9" x14ac:dyDescent="0.3">
      <c r="A728">
        <v>1</v>
      </c>
      <c r="B728">
        <v>116</v>
      </c>
      <c r="C728">
        <v>78</v>
      </c>
      <c r="D728">
        <v>29</v>
      </c>
      <c r="E728">
        <v>180</v>
      </c>
      <c r="F728">
        <v>36.1</v>
      </c>
      <c r="G728">
        <v>0.496</v>
      </c>
      <c r="H728">
        <v>25</v>
      </c>
      <c r="I728">
        <v>0</v>
      </c>
    </row>
    <row r="729" spans="1:9" x14ac:dyDescent="0.3">
      <c r="A729">
        <v>0</v>
      </c>
      <c r="B729">
        <v>141</v>
      </c>
      <c r="C729">
        <v>84</v>
      </c>
      <c r="D729">
        <v>26</v>
      </c>
      <c r="E729">
        <v>0</v>
      </c>
      <c r="F729">
        <v>32.4</v>
      </c>
      <c r="G729">
        <v>0.433</v>
      </c>
      <c r="H729">
        <v>22</v>
      </c>
      <c r="I729">
        <v>0</v>
      </c>
    </row>
    <row r="730" spans="1:9" x14ac:dyDescent="0.3">
      <c r="A730">
        <v>2</v>
      </c>
      <c r="B730">
        <v>175</v>
      </c>
      <c r="C730">
        <v>88</v>
      </c>
      <c r="D730">
        <v>0</v>
      </c>
      <c r="E730">
        <v>0</v>
      </c>
      <c r="F730">
        <v>22.9</v>
      </c>
      <c r="G730">
        <v>0.32600000000000001</v>
      </c>
      <c r="H730">
        <v>22</v>
      </c>
      <c r="I730">
        <v>0</v>
      </c>
    </row>
    <row r="731" spans="1:9" x14ac:dyDescent="0.3">
      <c r="A731">
        <v>2</v>
      </c>
      <c r="B731">
        <v>92</v>
      </c>
      <c r="C731">
        <v>52</v>
      </c>
      <c r="D731">
        <v>0</v>
      </c>
      <c r="E731">
        <v>0</v>
      </c>
      <c r="F731">
        <v>30.1</v>
      </c>
      <c r="G731">
        <v>0.14099999999999999</v>
      </c>
      <c r="H731">
        <v>22</v>
      </c>
      <c r="I731">
        <v>0</v>
      </c>
    </row>
    <row r="732" spans="1:9" x14ac:dyDescent="0.3">
      <c r="A732">
        <v>3</v>
      </c>
      <c r="B732">
        <v>130</v>
      </c>
      <c r="C732">
        <v>78</v>
      </c>
      <c r="D732">
        <v>23</v>
      </c>
      <c r="E732">
        <v>79</v>
      </c>
      <c r="F732">
        <v>28.4</v>
      </c>
      <c r="G732">
        <v>0.32300000000000001</v>
      </c>
      <c r="H732">
        <v>34</v>
      </c>
      <c r="I732">
        <v>1</v>
      </c>
    </row>
    <row r="733" spans="1:9" x14ac:dyDescent="0.3">
      <c r="A733">
        <v>8</v>
      </c>
      <c r="B733">
        <v>120</v>
      </c>
      <c r="C733">
        <v>86</v>
      </c>
      <c r="D733">
        <v>0</v>
      </c>
      <c r="E733">
        <v>0</v>
      </c>
      <c r="F733">
        <v>28.4</v>
      </c>
      <c r="G733">
        <v>0.25900000000000001</v>
      </c>
      <c r="H733">
        <v>22</v>
      </c>
      <c r="I733">
        <v>1</v>
      </c>
    </row>
    <row r="734" spans="1:9" x14ac:dyDescent="0.3">
      <c r="A734">
        <v>2</v>
      </c>
      <c r="B734">
        <v>174</v>
      </c>
      <c r="C734">
        <v>88</v>
      </c>
      <c r="D734">
        <v>37</v>
      </c>
      <c r="E734">
        <v>120</v>
      </c>
      <c r="F734">
        <v>44.5</v>
      </c>
      <c r="G734">
        <v>0.64600000000000002</v>
      </c>
      <c r="H734">
        <v>24</v>
      </c>
      <c r="I734">
        <v>1</v>
      </c>
    </row>
    <row r="735" spans="1:9" x14ac:dyDescent="0.3">
      <c r="A735">
        <v>2</v>
      </c>
      <c r="B735">
        <v>106</v>
      </c>
      <c r="C735">
        <v>56</v>
      </c>
      <c r="D735">
        <v>27</v>
      </c>
      <c r="E735">
        <v>165</v>
      </c>
      <c r="F735">
        <v>29</v>
      </c>
      <c r="G735">
        <v>0.42599999999999999</v>
      </c>
      <c r="H735">
        <v>22</v>
      </c>
      <c r="I735">
        <v>0</v>
      </c>
    </row>
    <row r="736" spans="1:9" x14ac:dyDescent="0.3">
      <c r="A736">
        <v>2</v>
      </c>
      <c r="B736">
        <v>105</v>
      </c>
      <c r="C736">
        <v>75</v>
      </c>
      <c r="D736">
        <v>0</v>
      </c>
      <c r="E736">
        <v>0</v>
      </c>
      <c r="F736">
        <v>23.3</v>
      </c>
      <c r="G736">
        <v>0.56000000000000005</v>
      </c>
      <c r="H736">
        <v>53</v>
      </c>
      <c r="I736">
        <v>0</v>
      </c>
    </row>
    <row r="737" spans="1:9" x14ac:dyDescent="0.3">
      <c r="A737">
        <v>4</v>
      </c>
      <c r="B737">
        <v>95</v>
      </c>
      <c r="C737">
        <v>60</v>
      </c>
      <c r="D737">
        <v>32</v>
      </c>
      <c r="E737">
        <v>0</v>
      </c>
      <c r="F737">
        <v>35.4</v>
      </c>
      <c r="G737">
        <v>0.28399999999999997</v>
      </c>
      <c r="H737">
        <v>28</v>
      </c>
      <c r="I737">
        <v>0</v>
      </c>
    </row>
    <row r="738" spans="1:9" x14ac:dyDescent="0.3">
      <c r="A738">
        <v>0</v>
      </c>
      <c r="B738">
        <v>126</v>
      </c>
      <c r="C738">
        <v>86</v>
      </c>
      <c r="D738">
        <v>27</v>
      </c>
      <c r="E738">
        <v>120</v>
      </c>
      <c r="F738">
        <v>27.4</v>
      </c>
      <c r="G738">
        <v>0.51500000000000001</v>
      </c>
      <c r="H738">
        <v>21</v>
      </c>
      <c r="I738">
        <v>0</v>
      </c>
    </row>
    <row r="739" spans="1:9" x14ac:dyDescent="0.3">
      <c r="A739">
        <v>8</v>
      </c>
      <c r="B739">
        <v>65</v>
      </c>
      <c r="C739">
        <v>72</v>
      </c>
      <c r="D739">
        <v>23</v>
      </c>
      <c r="E739">
        <v>0</v>
      </c>
      <c r="F739">
        <v>32</v>
      </c>
      <c r="G739">
        <v>0.6</v>
      </c>
      <c r="H739">
        <v>42</v>
      </c>
      <c r="I739">
        <v>0</v>
      </c>
    </row>
    <row r="740" spans="1:9" x14ac:dyDescent="0.3">
      <c r="A740">
        <v>2</v>
      </c>
      <c r="B740">
        <v>99</v>
      </c>
      <c r="C740">
        <v>60</v>
      </c>
      <c r="D740">
        <v>17</v>
      </c>
      <c r="E740">
        <v>160</v>
      </c>
      <c r="F740">
        <v>36.6</v>
      </c>
      <c r="G740">
        <v>0.45300000000000001</v>
      </c>
      <c r="H740">
        <v>21</v>
      </c>
      <c r="I740">
        <v>0</v>
      </c>
    </row>
    <row r="741" spans="1:9" x14ac:dyDescent="0.3">
      <c r="A741">
        <v>1</v>
      </c>
      <c r="B741">
        <v>102</v>
      </c>
      <c r="C741">
        <v>74</v>
      </c>
      <c r="D741">
        <v>0</v>
      </c>
      <c r="E741">
        <v>0</v>
      </c>
      <c r="F741">
        <v>39.5</v>
      </c>
      <c r="G741">
        <v>0.29299999999999998</v>
      </c>
      <c r="H741">
        <v>42</v>
      </c>
      <c r="I741">
        <v>1</v>
      </c>
    </row>
    <row r="742" spans="1:9" x14ac:dyDescent="0.3">
      <c r="A742">
        <v>11</v>
      </c>
      <c r="B742">
        <v>120</v>
      </c>
      <c r="C742">
        <v>80</v>
      </c>
      <c r="D742">
        <v>37</v>
      </c>
      <c r="E742">
        <v>150</v>
      </c>
      <c r="F742">
        <v>42.3</v>
      </c>
      <c r="G742">
        <v>0.78500000000000003</v>
      </c>
      <c r="H742">
        <v>48</v>
      </c>
      <c r="I742">
        <v>1</v>
      </c>
    </row>
    <row r="743" spans="1:9" x14ac:dyDescent="0.3">
      <c r="A743">
        <v>3</v>
      </c>
      <c r="B743">
        <v>102</v>
      </c>
      <c r="C743">
        <v>44</v>
      </c>
      <c r="D743">
        <v>20</v>
      </c>
      <c r="E743">
        <v>94</v>
      </c>
      <c r="F743">
        <v>30.8</v>
      </c>
      <c r="G743">
        <v>0.4</v>
      </c>
      <c r="H743">
        <v>26</v>
      </c>
      <c r="I743">
        <v>0</v>
      </c>
    </row>
    <row r="744" spans="1:9" x14ac:dyDescent="0.3">
      <c r="A744">
        <v>1</v>
      </c>
      <c r="B744">
        <v>109</v>
      </c>
      <c r="C744">
        <v>58</v>
      </c>
      <c r="D744">
        <v>18</v>
      </c>
      <c r="E744">
        <v>116</v>
      </c>
      <c r="F744">
        <v>28.5</v>
      </c>
      <c r="G744">
        <v>0.219</v>
      </c>
      <c r="H744">
        <v>22</v>
      </c>
      <c r="I744">
        <v>0</v>
      </c>
    </row>
    <row r="745" spans="1:9" x14ac:dyDescent="0.3">
      <c r="A745">
        <v>9</v>
      </c>
      <c r="B745">
        <v>140</v>
      </c>
      <c r="C745">
        <v>94</v>
      </c>
      <c r="D745">
        <v>0</v>
      </c>
      <c r="E745">
        <v>0</v>
      </c>
      <c r="F745">
        <v>32.700000000000003</v>
      </c>
      <c r="G745">
        <v>0.73399999999999999</v>
      </c>
      <c r="H745">
        <v>45</v>
      </c>
      <c r="I745">
        <v>1</v>
      </c>
    </row>
    <row r="746" spans="1:9" x14ac:dyDescent="0.3">
      <c r="A746">
        <v>13</v>
      </c>
      <c r="B746">
        <v>153</v>
      </c>
      <c r="C746">
        <v>88</v>
      </c>
      <c r="D746">
        <v>37</v>
      </c>
      <c r="E746">
        <v>140</v>
      </c>
      <c r="F746">
        <v>40.6</v>
      </c>
      <c r="G746">
        <v>1.1739999999999999</v>
      </c>
      <c r="H746">
        <v>39</v>
      </c>
      <c r="I746">
        <v>0</v>
      </c>
    </row>
    <row r="747" spans="1:9" x14ac:dyDescent="0.3">
      <c r="A747">
        <v>12</v>
      </c>
      <c r="B747">
        <v>100</v>
      </c>
      <c r="C747">
        <v>84</v>
      </c>
      <c r="D747">
        <v>33</v>
      </c>
      <c r="E747">
        <v>105</v>
      </c>
      <c r="F747">
        <v>30</v>
      </c>
      <c r="G747">
        <v>0.48799999999999999</v>
      </c>
      <c r="H747">
        <v>46</v>
      </c>
      <c r="I747">
        <v>0</v>
      </c>
    </row>
    <row r="748" spans="1:9" x14ac:dyDescent="0.3">
      <c r="A748">
        <v>1</v>
      </c>
      <c r="B748">
        <v>147</v>
      </c>
      <c r="C748">
        <v>94</v>
      </c>
      <c r="D748">
        <v>41</v>
      </c>
      <c r="E748">
        <v>0</v>
      </c>
      <c r="F748">
        <v>49.3</v>
      </c>
      <c r="G748">
        <v>0.35799999999999998</v>
      </c>
      <c r="H748">
        <v>27</v>
      </c>
      <c r="I748">
        <v>1</v>
      </c>
    </row>
    <row r="749" spans="1:9" x14ac:dyDescent="0.3">
      <c r="A749">
        <v>1</v>
      </c>
      <c r="B749">
        <v>81</v>
      </c>
      <c r="C749">
        <v>74</v>
      </c>
      <c r="D749">
        <v>41</v>
      </c>
      <c r="E749">
        <v>57</v>
      </c>
      <c r="F749">
        <v>46.3</v>
      </c>
      <c r="G749">
        <v>1.0960000000000001</v>
      </c>
      <c r="H749">
        <v>32</v>
      </c>
      <c r="I749">
        <v>0</v>
      </c>
    </row>
    <row r="750" spans="1:9" x14ac:dyDescent="0.3">
      <c r="A750">
        <v>3</v>
      </c>
      <c r="B750">
        <v>187</v>
      </c>
      <c r="C750">
        <v>70</v>
      </c>
      <c r="D750">
        <v>22</v>
      </c>
      <c r="E750">
        <v>200</v>
      </c>
      <c r="F750">
        <v>36.4</v>
      </c>
      <c r="G750">
        <v>0.40799999999999997</v>
      </c>
      <c r="H750">
        <v>36</v>
      </c>
      <c r="I750">
        <v>1</v>
      </c>
    </row>
    <row r="751" spans="1:9" x14ac:dyDescent="0.3">
      <c r="A751">
        <v>6</v>
      </c>
      <c r="B751">
        <v>162</v>
      </c>
      <c r="C751">
        <v>62</v>
      </c>
      <c r="D751">
        <v>0</v>
      </c>
      <c r="E751">
        <v>0</v>
      </c>
      <c r="F751">
        <v>24.3</v>
      </c>
      <c r="G751">
        <v>0.17799999999999999</v>
      </c>
      <c r="H751">
        <v>50</v>
      </c>
      <c r="I751">
        <v>1</v>
      </c>
    </row>
    <row r="752" spans="1:9" x14ac:dyDescent="0.3">
      <c r="A752">
        <v>4</v>
      </c>
      <c r="B752">
        <v>136</v>
      </c>
      <c r="C752">
        <v>70</v>
      </c>
      <c r="D752">
        <v>0</v>
      </c>
      <c r="E752">
        <v>0</v>
      </c>
      <c r="F752">
        <v>31.2</v>
      </c>
      <c r="G752">
        <v>1.1819999999999999</v>
      </c>
      <c r="H752">
        <v>22</v>
      </c>
      <c r="I752">
        <v>1</v>
      </c>
    </row>
    <row r="753" spans="1:9" x14ac:dyDescent="0.3">
      <c r="A753">
        <v>1</v>
      </c>
      <c r="B753">
        <v>121</v>
      </c>
      <c r="C753">
        <v>78</v>
      </c>
      <c r="D753">
        <v>39</v>
      </c>
      <c r="E753">
        <v>74</v>
      </c>
      <c r="F753">
        <v>39</v>
      </c>
      <c r="G753">
        <v>0.26100000000000001</v>
      </c>
      <c r="H753">
        <v>28</v>
      </c>
      <c r="I753">
        <v>0</v>
      </c>
    </row>
    <row r="754" spans="1:9" x14ac:dyDescent="0.3">
      <c r="A754">
        <v>3</v>
      </c>
      <c r="B754">
        <v>108</v>
      </c>
      <c r="C754">
        <v>62</v>
      </c>
      <c r="D754">
        <v>24</v>
      </c>
      <c r="E754">
        <v>0</v>
      </c>
      <c r="F754">
        <v>26</v>
      </c>
      <c r="G754">
        <v>0.223</v>
      </c>
      <c r="H754">
        <v>25</v>
      </c>
      <c r="I754">
        <v>0</v>
      </c>
    </row>
    <row r="755" spans="1:9" x14ac:dyDescent="0.3">
      <c r="A755">
        <v>0</v>
      </c>
      <c r="B755">
        <v>181</v>
      </c>
      <c r="C755">
        <v>88</v>
      </c>
      <c r="D755">
        <v>44</v>
      </c>
      <c r="E755">
        <v>510</v>
      </c>
      <c r="F755">
        <v>43.3</v>
      </c>
      <c r="G755">
        <v>0.222</v>
      </c>
      <c r="H755">
        <v>26</v>
      </c>
      <c r="I755">
        <v>1</v>
      </c>
    </row>
    <row r="756" spans="1:9" x14ac:dyDescent="0.3">
      <c r="A756">
        <v>8</v>
      </c>
      <c r="B756">
        <v>154</v>
      </c>
      <c r="C756">
        <v>78</v>
      </c>
      <c r="D756">
        <v>32</v>
      </c>
      <c r="E756">
        <v>0</v>
      </c>
      <c r="F756">
        <v>32.4</v>
      </c>
      <c r="G756">
        <v>0.443</v>
      </c>
      <c r="H756">
        <v>45</v>
      </c>
      <c r="I756">
        <v>1</v>
      </c>
    </row>
    <row r="757" spans="1:9" x14ac:dyDescent="0.3">
      <c r="A757">
        <v>1</v>
      </c>
      <c r="B757">
        <v>128</v>
      </c>
      <c r="C757">
        <v>88</v>
      </c>
      <c r="D757">
        <v>39</v>
      </c>
      <c r="E757">
        <v>110</v>
      </c>
      <c r="F757">
        <v>36.5</v>
      </c>
      <c r="G757">
        <v>1.0569999999999999</v>
      </c>
      <c r="H757">
        <v>37</v>
      </c>
      <c r="I757">
        <v>1</v>
      </c>
    </row>
    <row r="758" spans="1:9" x14ac:dyDescent="0.3">
      <c r="A758">
        <v>7</v>
      </c>
      <c r="B758">
        <v>137</v>
      </c>
      <c r="C758">
        <v>90</v>
      </c>
      <c r="D758">
        <v>41</v>
      </c>
      <c r="E758">
        <v>0</v>
      </c>
      <c r="F758">
        <v>32</v>
      </c>
      <c r="G758">
        <v>0.39100000000000001</v>
      </c>
      <c r="H758">
        <v>39</v>
      </c>
      <c r="I758">
        <v>0</v>
      </c>
    </row>
    <row r="759" spans="1:9" x14ac:dyDescent="0.3">
      <c r="A759">
        <v>0</v>
      </c>
      <c r="B759">
        <v>123</v>
      </c>
      <c r="C759">
        <v>72</v>
      </c>
      <c r="D759">
        <v>0</v>
      </c>
      <c r="E759">
        <v>0</v>
      </c>
      <c r="F759">
        <v>36.299999999999997</v>
      </c>
      <c r="G759">
        <v>0.25800000000000001</v>
      </c>
      <c r="H759">
        <v>52</v>
      </c>
      <c r="I759">
        <v>1</v>
      </c>
    </row>
    <row r="760" spans="1:9" x14ac:dyDescent="0.3">
      <c r="A760">
        <v>1</v>
      </c>
      <c r="B760">
        <v>106</v>
      </c>
      <c r="C760">
        <v>76</v>
      </c>
      <c r="D760">
        <v>0</v>
      </c>
      <c r="E760">
        <v>0</v>
      </c>
      <c r="F760">
        <v>37.5</v>
      </c>
      <c r="G760">
        <v>0.19700000000000001</v>
      </c>
      <c r="H760">
        <v>26</v>
      </c>
      <c r="I760">
        <v>0</v>
      </c>
    </row>
    <row r="761" spans="1:9" x14ac:dyDescent="0.3">
      <c r="A761">
        <v>6</v>
      </c>
      <c r="B761">
        <v>190</v>
      </c>
      <c r="C761">
        <v>92</v>
      </c>
      <c r="D761">
        <v>0</v>
      </c>
      <c r="E761">
        <v>0</v>
      </c>
      <c r="F761">
        <v>35.5</v>
      </c>
      <c r="G761">
        <v>0.27800000000000002</v>
      </c>
      <c r="H761">
        <v>66</v>
      </c>
      <c r="I761">
        <v>1</v>
      </c>
    </row>
    <row r="762" spans="1:9" x14ac:dyDescent="0.3">
      <c r="A762">
        <v>2</v>
      </c>
      <c r="B762">
        <v>88</v>
      </c>
      <c r="C762">
        <v>58</v>
      </c>
      <c r="D762">
        <v>26</v>
      </c>
      <c r="E762">
        <v>16</v>
      </c>
      <c r="F762">
        <v>28.4</v>
      </c>
      <c r="G762">
        <v>0.76600000000000001</v>
      </c>
      <c r="H762">
        <v>22</v>
      </c>
      <c r="I762">
        <v>0</v>
      </c>
    </row>
    <row r="763" spans="1:9" x14ac:dyDescent="0.3">
      <c r="A763">
        <v>9</v>
      </c>
      <c r="B763">
        <v>170</v>
      </c>
      <c r="C763">
        <v>74</v>
      </c>
      <c r="D763">
        <v>31</v>
      </c>
      <c r="E763">
        <v>0</v>
      </c>
      <c r="F763">
        <v>44</v>
      </c>
      <c r="G763">
        <v>0.40300000000000002</v>
      </c>
      <c r="H763">
        <v>43</v>
      </c>
      <c r="I763">
        <v>1</v>
      </c>
    </row>
    <row r="764" spans="1:9" x14ac:dyDescent="0.3">
      <c r="A764">
        <v>9</v>
      </c>
      <c r="B764">
        <v>89</v>
      </c>
      <c r="C764">
        <v>62</v>
      </c>
      <c r="D764">
        <v>0</v>
      </c>
      <c r="E764">
        <v>0</v>
      </c>
      <c r="F764">
        <v>22.5</v>
      </c>
      <c r="G764">
        <v>0.14199999999999999</v>
      </c>
      <c r="H764">
        <v>33</v>
      </c>
      <c r="I764">
        <v>0</v>
      </c>
    </row>
    <row r="765" spans="1:9" x14ac:dyDescent="0.3">
      <c r="A765">
        <v>10</v>
      </c>
      <c r="B765">
        <v>101</v>
      </c>
      <c r="C765">
        <v>76</v>
      </c>
      <c r="D765">
        <v>48</v>
      </c>
      <c r="E765">
        <v>180</v>
      </c>
      <c r="F765">
        <v>32.9</v>
      </c>
      <c r="G765">
        <v>0.17100000000000001</v>
      </c>
      <c r="H765">
        <v>63</v>
      </c>
      <c r="I765">
        <v>0</v>
      </c>
    </row>
    <row r="766" spans="1:9" x14ac:dyDescent="0.3">
      <c r="A766">
        <v>2</v>
      </c>
      <c r="B766">
        <v>122</v>
      </c>
      <c r="C766">
        <v>70</v>
      </c>
      <c r="D766">
        <v>27</v>
      </c>
      <c r="E766">
        <v>0</v>
      </c>
      <c r="F766">
        <v>36.799999999999997</v>
      </c>
      <c r="G766">
        <v>0.34</v>
      </c>
      <c r="H766">
        <v>27</v>
      </c>
      <c r="I766">
        <v>0</v>
      </c>
    </row>
    <row r="767" spans="1:9" x14ac:dyDescent="0.3">
      <c r="A767">
        <v>5</v>
      </c>
      <c r="B767">
        <v>121</v>
      </c>
      <c r="C767">
        <v>72</v>
      </c>
      <c r="D767">
        <v>23</v>
      </c>
      <c r="E767">
        <v>112</v>
      </c>
      <c r="F767">
        <v>26.2</v>
      </c>
      <c r="G767">
        <v>0.245</v>
      </c>
      <c r="H767">
        <v>30</v>
      </c>
      <c r="I767">
        <v>0</v>
      </c>
    </row>
    <row r="768" spans="1:9" x14ac:dyDescent="0.3">
      <c r="A768">
        <v>1</v>
      </c>
      <c r="B768">
        <v>126</v>
      </c>
      <c r="C768">
        <v>60</v>
      </c>
      <c r="D768">
        <v>0</v>
      </c>
      <c r="E768">
        <v>0</v>
      </c>
      <c r="F768">
        <v>30.1</v>
      </c>
      <c r="G768">
        <v>0.34899999999999998</v>
      </c>
      <c r="H768">
        <v>47</v>
      </c>
      <c r="I768">
        <v>1</v>
      </c>
    </row>
    <row r="769" spans="1:9" x14ac:dyDescent="0.3">
      <c r="A769">
        <v>1</v>
      </c>
      <c r="B769">
        <v>93</v>
      </c>
      <c r="C769">
        <v>70</v>
      </c>
      <c r="D769">
        <v>31</v>
      </c>
      <c r="E769">
        <v>0</v>
      </c>
      <c r="F769">
        <v>30.4</v>
      </c>
      <c r="G769">
        <v>0.315</v>
      </c>
      <c r="H769">
        <v>23</v>
      </c>
      <c r="I769">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FA7EB-FD56-4B30-9BB5-0E1C65F9A091}">
  <dimension ref="A1:L769"/>
  <sheetViews>
    <sheetView topLeftCell="A43" workbookViewId="0">
      <selection activeCell="I27" sqref="I27"/>
    </sheetView>
  </sheetViews>
  <sheetFormatPr defaultRowHeight="14.4" x14ac:dyDescent="0.3"/>
  <cols>
    <col min="1" max="2" width="13" customWidth="1"/>
    <col min="3" max="3" width="10.88671875" customWidth="1"/>
    <col min="4" max="4" width="14.88671875" customWidth="1"/>
    <col min="5" max="5" width="14.5546875" customWidth="1"/>
    <col min="7" max="7" width="27.77734375" customWidth="1"/>
    <col min="8" max="8" width="13" customWidth="1"/>
    <col min="9" max="9" width="24.77734375" customWidth="1"/>
    <col min="10" max="10" width="16.33203125" customWidth="1"/>
    <col min="11" max="11" width="10.6640625" customWidth="1"/>
  </cols>
  <sheetData>
    <row r="1" spans="1:12" x14ac:dyDescent="0.3">
      <c r="A1" t="s">
        <v>0</v>
      </c>
      <c r="B1" t="s">
        <v>27</v>
      </c>
      <c r="C1" t="s">
        <v>1</v>
      </c>
      <c r="D1" t="s">
        <v>2</v>
      </c>
      <c r="E1" t="s">
        <v>3</v>
      </c>
      <c r="F1" t="s">
        <v>4</v>
      </c>
      <c r="G1" t="s">
        <v>26</v>
      </c>
      <c r="H1" t="s">
        <v>5</v>
      </c>
      <c r="I1" t="s">
        <v>6</v>
      </c>
      <c r="J1" t="s">
        <v>25</v>
      </c>
      <c r="K1" t="s">
        <v>7</v>
      </c>
      <c r="L1" t="s">
        <v>8</v>
      </c>
    </row>
    <row r="2" spans="1:12" x14ac:dyDescent="0.3">
      <c r="A2">
        <v>0</v>
      </c>
      <c r="B2" t="str">
        <f>IF(Table1[[#This Row],[Glucose]]&lt;100,"Normal",IF(Table1[[#This Row],[Glucose]]&lt;126,"Prediabetes","High Risk"))</f>
        <v>High Risk</v>
      </c>
      <c r="C2">
        <v>137</v>
      </c>
      <c r="D2">
        <v>40</v>
      </c>
      <c r="E2">
        <v>35</v>
      </c>
      <c r="F2">
        <v>168</v>
      </c>
      <c r="G2" t="str">
        <f>IF(Table1[[#This Row],[BMI]]&lt;18.5,"Underweight",IF(Table1[[#This Row],[BMI]]&lt;25,"Normal",IF(Table1[[#This Row],[BMI]]&lt;30,"Overweight","Obese")))</f>
        <v>Obese</v>
      </c>
      <c r="H2">
        <v>43.1</v>
      </c>
      <c r="I2">
        <v>2.2879999999999998</v>
      </c>
      <c r="J2" t="str">
        <f>IF(Table1[[#This Row],[Age]]&lt;30,"Young (&lt;30)",IF(Table1[[#This Row],[Age]]&lt;=50,"Middle Age (30-50)","Older (&gt;50)"))</f>
        <v>Middle Age (30-50)</v>
      </c>
      <c r="K2">
        <v>33</v>
      </c>
      <c r="L2">
        <v>1</v>
      </c>
    </row>
    <row r="3" spans="1:12" x14ac:dyDescent="0.3">
      <c r="A3">
        <v>0</v>
      </c>
      <c r="B3" t="str">
        <f>IF(Table1[[#This Row],[Glucose]]&lt;100,"Normal",IF(Table1[[#This Row],[Glucose]]&lt;126,"Prediabetes","High Risk"))</f>
        <v>Prediabetes</v>
      </c>
      <c r="C3">
        <v>118</v>
      </c>
      <c r="D3">
        <v>84</v>
      </c>
      <c r="E3">
        <v>47</v>
      </c>
      <c r="F3">
        <v>230</v>
      </c>
      <c r="G3" t="str">
        <f>IF(Table1[[#This Row],[BMI]]&lt;18.5,"Underweight",IF(Table1[[#This Row],[BMI]]&lt;25,"Normal",IF(Table1[[#This Row],[BMI]]&lt;30,"Overweight","Obese")))</f>
        <v>Obese</v>
      </c>
      <c r="H3">
        <v>45.8</v>
      </c>
      <c r="I3">
        <v>0.55100000000000005</v>
      </c>
      <c r="J3" t="str">
        <f>IF(Table1[[#This Row],[Age]]&lt;30,"Young (&lt;30)",IF(Table1[[#This Row],[Age]]&lt;=50,"Middle Age (30-50)","Older (&gt;50)"))</f>
        <v>Middle Age (30-50)</v>
      </c>
      <c r="K3">
        <v>31</v>
      </c>
      <c r="L3">
        <v>1</v>
      </c>
    </row>
    <row r="4" spans="1:12" x14ac:dyDescent="0.3">
      <c r="A4">
        <v>0</v>
      </c>
      <c r="B4" t="str">
        <f>IF(Table1[[#This Row],[Glucose]]&lt;100,"Normal",IF(Table1[[#This Row],[Glucose]]&lt;126,"Prediabetes","High Risk"))</f>
        <v>High Risk</v>
      </c>
      <c r="C4">
        <v>180</v>
      </c>
      <c r="D4">
        <v>66</v>
      </c>
      <c r="E4">
        <v>39</v>
      </c>
      <c r="F4">
        <v>0</v>
      </c>
      <c r="G4" t="str">
        <f>IF(Table1[[#This Row],[BMI]]&lt;18.5,"Underweight",IF(Table1[[#This Row],[BMI]]&lt;25,"Normal",IF(Table1[[#This Row],[BMI]]&lt;30,"Overweight","Obese")))</f>
        <v>Obese</v>
      </c>
      <c r="H4">
        <v>42</v>
      </c>
      <c r="I4">
        <v>1.893</v>
      </c>
      <c r="J4" t="str">
        <f>IF(Table1[[#This Row],[Age]]&lt;30,"Young (&lt;30)",IF(Table1[[#This Row],[Age]]&lt;=50,"Middle Age (30-50)","Older (&gt;50)"))</f>
        <v>Young (&lt;30)</v>
      </c>
      <c r="K4">
        <v>25</v>
      </c>
      <c r="L4">
        <v>1</v>
      </c>
    </row>
    <row r="5" spans="1:12" x14ac:dyDescent="0.3">
      <c r="A5">
        <v>0</v>
      </c>
      <c r="B5" t="str">
        <f>IF(Table1[[#This Row],[Glucose]]&lt;100,"Normal",IF(Table1[[#This Row],[Glucose]]&lt;126,"Prediabetes","High Risk"))</f>
        <v>Prediabetes</v>
      </c>
      <c r="C5">
        <v>100</v>
      </c>
      <c r="D5">
        <v>88</v>
      </c>
      <c r="E5">
        <v>60</v>
      </c>
      <c r="F5">
        <v>110</v>
      </c>
      <c r="G5" t="str">
        <f>IF(Table1[[#This Row],[BMI]]&lt;18.5,"Underweight",IF(Table1[[#This Row],[BMI]]&lt;25,"Normal",IF(Table1[[#This Row],[BMI]]&lt;30,"Overweight","Obese")))</f>
        <v>Obese</v>
      </c>
      <c r="H5">
        <v>46.8</v>
      </c>
      <c r="I5">
        <v>0.96199999999999997</v>
      </c>
      <c r="J5" t="str">
        <f>IF(Table1[[#This Row],[Age]]&lt;30,"Young (&lt;30)",IF(Table1[[#This Row],[Age]]&lt;=50,"Middle Age (30-50)","Older (&gt;50)"))</f>
        <v>Middle Age (30-50)</v>
      </c>
      <c r="K5">
        <v>31</v>
      </c>
      <c r="L5">
        <v>0</v>
      </c>
    </row>
    <row r="6" spans="1:12" x14ac:dyDescent="0.3">
      <c r="A6">
        <v>0</v>
      </c>
      <c r="B6" t="str">
        <f>IF(Table1[[#This Row],[Glucose]]&lt;100,"Normal",IF(Table1[[#This Row],[Glucose]]&lt;126,"Prediabetes","High Risk"))</f>
        <v>High Risk</v>
      </c>
      <c r="C6">
        <v>146</v>
      </c>
      <c r="D6">
        <v>82</v>
      </c>
      <c r="E6">
        <v>0</v>
      </c>
      <c r="F6">
        <v>0</v>
      </c>
      <c r="G6" t="str">
        <f>IF(Table1[[#This Row],[BMI]]&lt;18.5,"Underweight",IF(Table1[[#This Row],[BMI]]&lt;25,"Normal",IF(Table1[[#This Row],[BMI]]&lt;30,"Overweight","Obese")))</f>
        <v>Obese</v>
      </c>
      <c r="H6">
        <v>40.5</v>
      </c>
      <c r="I6">
        <v>1.7809999999999999</v>
      </c>
      <c r="J6" t="str">
        <f>IF(Table1[[#This Row],[Age]]&lt;30,"Young (&lt;30)",IF(Table1[[#This Row],[Age]]&lt;=50,"Middle Age (30-50)","Older (&gt;50)"))</f>
        <v>Middle Age (30-50)</v>
      </c>
      <c r="K6">
        <v>44</v>
      </c>
      <c r="L6">
        <v>0</v>
      </c>
    </row>
    <row r="7" spans="1:12" x14ac:dyDescent="0.3">
      <c r="A7">
        <v>0</v>
      </c>
      <c r="B7" t="str">
        <f>IF(Table1[[#This Row],[Glucose]]&lt;100,"Normal",IF(Table1[[#This Row],[Glucose]]&lt;126,"Prediabetes","High Risk"))</f>
        <v>Prediabetes</v>
      </c>
      <c r="C7">
        <v>105</v>
      </c>
      <c r="D7">
        <v>64</v>
      </c>
      <c r="E7">
        <v>41</v>
      </c>
      <c r="F7">
        <v>142</v>
      </c>
      <c r="G7" t="str">
        <f>IF(Table1[[#This Row],[BMI]]&lt;18.5,"Underweight",IF(Table1[[#This Row],[BMI]]&lt;25,"Normal",IF(Table1[[#This Row],[BMI]]&lt;30,"Overweight","Obese")))</f>
        <v>Obese</v>
      </c>
      <c r="H7">
        <v>41.5</v>
      </c>
      <c r="I7">
        <v>0.17299999999999999</v>
      </c>
      <c r="J7" t="str">
        <f>IF(Table1[[#This Row],[Age]]&lt;30,"Young (&lt;30)",IF(Table1[[#This Row],[Age]]&lt;=50,"Middle Age (30-50)","Older (&gt;50)"))</f>
        <v>Young (&lt;30)</v>
      </c>
      <c r="K7">
        <v>22</v>
      </c>
      <c r="L7">
        <v>0</v>
      </c>
    </row>
    <row r="8" spans="1:12" x14ac:dyDescent="0.3">
      <c r="A8">
        <v>0</v>
      </c>
      <c r="B8" t="str">
        <f>IF(Table1[[#This Row],[Glucose]]&lt;100,"Normal",IF(Table1[[#This Row],[Glucose]]&lt;126,"Prediabetes","High Risk"))</f>
        <v>Prediabetes</v>
      </c>
      <c r="C8">
        <v>109</v>
      </c>
      <c r="D8">
        <v>88</v>
      </c>
      <c r="E8">
        <v>30</v>
      </c>
      <c r="F8">
        <v>0</v>
      </c>
      <c r="G8" t="str">
        <f>IF(Table1[[#This Row],[BMI]]&lt;18.5,"Underweight",IF(Table1[[#This Row],[BMI]]&lt;25,"Normal",IF(Table1[[#This Row],[BMI]]&lt;30,"Overweight","Obese")))</f>
        <v>Obese</v>
      </c>
      <c r="H8">
        <v>32.5</v>
      </c>
      <c r="I8">
        <v>0.85499999999999998</v>
      </c>
      <c r="J8" t="str">
        <f>IF(Table1[[#This Row],[Age]]&lt;30,"Young (&lt;30)",IF(Table1[[#This Row],[Age]]&lt;=50,"Middle Age (30-50)","Older (&gt;50)"))</f>
        <v>Middle Age (30-50)</v>
      </c>
      <c r="K8">
        <v>38</v>
      </c>
      <c r="L8">
        <v>1</v>
      </c>
    </row>
    <row r="9" spans="1:12" x14ac:dyDescent="0.3">
      <c r="A9">
        <v>0</v>
      </c>
      <c r="B9" t="str">
        <f>IF(Table1[[#This Row],[Glucose]]&lt;100,"Normal",IF(Table1[[#This Row],[Glucose]]&lt;126,"Prediabetes","High Risk"))</f>
        <v>High Risk</v>
      </c>
      <c r="C9">
        <v>131</v>
      </c>
      <c r="D9">
        <v>0</v>
      </c>
      <c r="E9">
        <v>0</v>
      </c>
      <c r="F9">
        <v>0</v>
      </c>
      <c r="G9" t="str">
        <f>IF(Table1[[#This Row],[BMI]]&lt;18.5,"Underweight",IF(Table1[[#This Row],[BMI]]&lt;25,"Normal",IF(Table1[[#This Row],[BMI]]&lt;30,"Overweight","Obese")))</f>
        <v>Obese</v>
      </c>
      <c r="H9">
        <v>43.2</v>
      </c>
      <c r="I9">
        <v>0.27</v>
      </c>
      <c r="J9" t="str">
        <f>IF(Table1[[#This Row],[Age]]&lt;30,"Young (&lt;30)",IF(Table1[[#This Row],[Age]]&lt;=50,"Middle Age (30-50)","Older (&gt;50)"))</f>
        <v>Young (&lt;30)</v>
      </c>
      <c r="K9">
        <v>26</v>
      </c>
      <c r="L9">
        <v>1</v>
      </c>
    </row>
    <row r="10" spans="1:12" x14ac:dyDescent="0.3">
      <c r="A10">
        <v>0</v>
      </c>
      <c r="B10" t="str">
        <f>IF(Table1[[#This Row],[Glucose]]&lt;100,"Normal",IF(Table1[[#This Row],[Glucose]]&lt;126,"Prediabetes","High Risk"))</f>
        <v>Prediabetes</v>
      </c>
      <c r="C10">
        <v>101</v>
      </c>
      <c r="D10">
        <v>65</v>
      </c>
      <c r="E10">
        <v>28</v>
      </c>
      <c r="F10">
        <v>0</v>
      </c>
      <c r="G10" t="str">
        <f>IF(Table1[[#This Row],[BMI]]&lt;18.5,"Underweight",IF(Table1[[#This Row],[BMI]]&lt;25,"Normal",IF(Table1[[#This Row],[BMI]]&lt;30,"Overweight","Obese")))</f>
        <v>Normal</v>
      </c>
      <c r="H10">
        <v>24.6</v>
      </c>
      <c r="I10">
        <v>0.23699999999999999</v>
      </c>
      <c r="J10" t="str">
        <f>IF(Table1[[#This Row],[Age]]&lt;30,"Young (&lt;30)",IF(Table1[[#This Row],[Age]]&lt;=50,"Middle Age (30-50)","Older (&gt;50)"))</f>
        <v>Young (&lt;30)</v>
      </c>
      <c r="K10">
        <v>22</v>
      </c>
      <c r="L10">
        <v>0</v>
      </c>
    </row>
    <row r="11" spans="1:12" x14ac:dyDescent="0.3">
      <c r="A11">
        <v>0</v>
      </c>
      <c r="B11" t="str">
        <f>IF(Table1[[#This Row],[Glucose]]&lt;100,"Normal",IF(Table1[[#This Row],[Glucose]]&lt;126,"Prediabetes","High Risk"))</f>
        <v>Prediabetes</v>
      </c>
      <c r="C11">
        <v>125</v>
      </c>
      <c r="D11">
        <v>96</v>
      </c>
      <c r="E11">
        <v>0</v>
      </c>
      <c r="F11">
        <v>0</v>
      </c>
      <c r="G11" t="str">
        <f>IF(Table1[[#This Row],[BMI]]&lt;18.5,"Underweight",IF(Table1[[#This Row],[BMI]]&lt;25,"Normal",IF(Table1[[#This Row],[BMI]]&lt;30,"Overweight","Obese")))</f>
        <v>Normal</v>
      </c>
      <c r="H11">
        <v>22.5</v>
      </c>
      <c r="I11">
        <v>0.26200000000000001</v>
      </c>
      <c r="J11" t="str">
        <f>IF(Table1[[#This Row],[Age]]&lt;30,"Young (&lt;30)",IF(Table1[[#This Row],[Age]]&lt;=50,"Middle Age (30-50)","Older (&gt;50)"))</f>
        <v>Young (&lt;30)</v>
      </c>
      <c r="K11">
        <v>21</v>
      </c>
      <c r="L11">
        <v>0</v>
      </c>
    </row>
    <row r="12" spans="1:12" x14ac:dyDescent="0.3">
      <c r="A12">
        <v>0</v>
      </c>
      <c r="B12" t="str">
        <f>IF(Table1[[#This Row],[Glucose]]&lt;100,"Normal",IF(Table1[[#This Row],[Glucose]]&lt;126,"Prediabetes","High Risk"))</f>
        <v>Normal</v>
      </c>
      <c r="C12">
        <v>95</v>
      </c>
      <c r="D12">
        <v>85</v>
      </c>
      <c r="E12">
        <v>25</v>
      </c>
      <c r="F12">
        <v>36</v>
      </c>
      <c r="G12" t="str">
        <f>IF(Table1[[#This Row],[BMI]]&lt;18.5,"Underweight",IF(Table1[[#This Row],[BMI]]&lt;25,"Normal",IF(Table1[[#This Row],[BMI]]&lt;30,"Overweight","Obese")))</f>
        <v>Obese</v>
      </c>
      <c r="H12">
        <v>37.4</v>
      </c>
      <c r="I12">
        <v>0.247</v>
      </c>
      <c r="J12" t="str">
        <f>IF(Table1[[#This Row],[Age]]&lt;30,"Young (&lt;30)",IF(Table1[[#This Row],[Age]]&lt;=50,"Middle Age (30-50)","Older (&gt;50)"))</f>
        <v>Young (&lt;30)</v>
      </c>
      <c r="K12">
        <v>24</v>
      </c>
      <c r="L12">
        <v>1</v>
      </c>
    </row>
    <row r="13" spans="1:12" x14ac:dyDescent="0.3">
      <c r="A13">
        <v>0</v>
      </c>
      <c r="B13" t="str">
        <f>IF(Table1[[#This Row],[Glucose]]&lt;100,"Normal",IF(Table1[[#This Row],[Glucose]]&lt;126,"Prediabetes","High Risk"))</f>
        <v>High Risk</v>
      </c>
      <c r="C13">
        <v>162</v>
      </c>
      <c r="D13">
        <v>76</v>
      </c>
      <c r="E13">
        <v>56</v>
      </c>
      <c r="F13">
        <v>100</v>
      </c>
      <c r="G13" t="str">
        <f>IF(Table1[[#This Row],[BMI]]&lt;18.5,"Underweight",IF(Table1[[#This Row],[BMI]]&lt;25,"Normal",IF(Table1[[#This Row],[BMI]]&lt;30,"Overweight","Obese")))</f>
        <v>Obese</v>
      </c>
      <c r="H13">
        <v>53.2</v>
      </c>
      <c r="I13">
        <v>0.75900000000000001</v>
      </c>
      <c r="J13" t="str">
        <f>IF(Table1[[#This Row],[Age]]&lt;30,"Young (&lt;30)",IF(Table1[[#This Row],[Age]]&lt;=50,"Middle Age (30-50)","Older (&gt;50)"))</f>
        <v>Young (&lt;30)</v>
      </c>
      <c r="K13">
        <v>25</v>
      </c>
      <c r="L13">
        <v>1</v>
      </c>
    </row>
    <row r="14" spans="1:12" x14ac:dyDescent="0.3">
      <c r="A14">
        <v>0</v>
      </c>
      <c r="B14" t="str">
        <f>IF(Table1[[#This Row],[Glucose]]&lt;100,"Normal",IF(Table1[[#This Row],[Glucose]]&lt;126,"Prediabetes","High Risk"))</f>
        <v>Prediabetes</v>
      </c>
      <c r="C14">
        <v>113</v>
      </c>
      <c r="D14">
        <v>76</v>
      </c>
      <c r="E14">
        <v>0</v>
      </c>
      <c r="F14">
        <v>0</v>
      </c>
      <c r="G14" t="str">
        <f>IF(Table1[[#This Row],[BMI]]&lt;18.5,"Underweight",IF(Table1[[#This Row],[BMI]]&lt;25,"Normal",IF(Table1[[#This Row],[BMI]]&lt;30,"Overweight","Obese")))</f>
        <v>Obese</v>
      </c>
      <c r="H14">
        <v>33.299999999999997</v>
      </c>
      <c r="I14">
        <v>0.27800000000000002</v>
      </c>
      <c r="J14" t="str">
        <f>IF(Table1[[#This Row],[Age]]&lt;30,"Young (&lt;30)",IF(Table1[[#This Row],[Age]]&lt;=50,"Middle Age (30-50)","Older (&gt;50)"))</f>
        <v>Young (&lt;30)</v>
      </c>
      <c r="K14">
        <v>23</v>
      </c>
      <c r="L14">
        <v>1</v>
      </c>
    </row>
    <row r="15" spans="1:12" x14ac:dyDescent="0.3">
      <c r="A15">
        <v>0</v>
      </c>
      <c r="B15" t="str">
        <f>IF(Table1[[#This Row],[Glucose]]&lt;100,"Normal",IF(Table1[[#This Row],[Glucose]]&lt;126,"Prediabetes","High Risk"))</f>
        <v>Prediabetes</v>
      </c>
      <c r="C15">
        <v>105</v>
      </c>
      <c r="D15">
        <v>84</v>
      </c>
      <c r="E15">
        <v>0</v>
      </c>
      <c r="F15">
        <v>0</v>
      </c>
      <c r="G15" t="str">
        <f>IF(Table1[[#This Row],[BMI]]&lt;18.5,"Underweight",IF(Table1[[#This Row],[BMI]]&lt;25,"Normal",IF(Table1[[#This Row],[BMI]]&lt;30,"Overweight","Obese")))</f>
        <v>Overweight</v>
      </c>
      <c r="H15">
        <v>27.9</v>
      </c>
      <c r="I15">
        <v>0.74099999999999999</v>
      </c>
      <c r="J15" t="str">
        <f>IF(Table1[[#This Row],[Age]]&lt;30,"Young (&lt;30)",IF(Table1[[#This Row],[Age]]&lt;=50,"Middle Age (30-50)","Older (&gt;50)"))</f>
        <v>Older (&gt;50)</v>
      </c>
      <c r="K15">
        <v>62</v>
      </c>
      <c r="L15">
        <v>1</v>
      </c>
    </row>
    <row r="16" spans="1:12" x14ac:dyDescent="0.3">
      <c r="A16">
        <v>0</v>
      </c>
      <c r="B16" t="str">
        <f>IF(Table1[[#This Row],[Glucose]]&lt;100,"Normal",IF(Table1[[#This Row],[Glucose]]&lt;126,"Prediabetes","High Risk"))</f>
        <v>Prediabetes</v>
      </c>
      <c r="C16">
        <v>100</v>
      </c>
      <c r="D16">
        <v>70</v>
      </c>
      <c r="E16">
        <v>26</v>
      </c>
      <c r="F16">
        <v>50</v>
      </c>
      <c r="G16" t="str">
        <f>IF(Table1[[#This Row],[BMI]]&lt;18.5,"Underweight",IF(Table1[[#This Row],[BMI]]&lt;25,"Normal",IF(Table1[[#This Row],[BMI]]&lt;30,"Overweight","Obese")))</f>
        <v>Obese</v>
      </c>
      <c r="H16">
        <v>30.8</v>
      </c>
      <c r="I16">
        <v>0.59699999999999998</v>
      </c>
      <c r="J16" t="str">
        <f>IF(Table1[[#This Row],[Age]]&lt;30,"Young (&lt;30)",IF(Table1[[#This Row],[Age]]&lt;=50,"Middle Age (30-50)","Older (&gt;50)"))</f>
        <v>Young (&lt;30)</v>
      </c>
      <c r="K16">
        <v>21</v>
      </c>
      <c r="L16">
        <v>0</v>
      </c>
    </row>
    <row r="17" spans="1:12" x14ac:dyDescent="0.3">
      <c r="A17">
        <v>0</v>
      </c>
      <c r="B17" t="str">
        <f>IF(Table1[[#This Row],[Glucose]]&lt;100,"Normal",IF(Table1[[#This Row],[Glucose]]&lt;126,"Prediabetes","High Risk"))</f>
        <v>Normal</v>
      </c>
      <c r="C17">
        <v>93</v>
      </c>
      <c r="D17">
        <v>60</v>
      </c>
      <c r="E17">
        <v>25</v>
      </c>
      <c r="F17">
        <v>92</v>
      </c>
      <c r="G17" t="str">
        <f>IF(Table1[[#This Row],[BMI]]&lt;18.5,"Underweight",IF(Table1[[#This Row],[BMI]]&lt;25,"Normal",IF(Table1[[#This Row],[BMI]]&lt;30,"Overweight","Obese")))</f>
        <v>Overweight</v>
      </c>
      <c r="H17">
        <v>28.7</v>
      </c>
      <c r="I17">
        <v>0.53200000000000003</v>
      </c>
      <c r="J17" t="str">
        <f>IF(Table1[[#This Row],[Age]]&lt;30,"Young (&lt;30)",IF(Table1[[#This Row],[Age]]&lt;=50,"Middle Age (30-50)","Older (&gt;50)"))</f>
        <v>Young (&lt;30)</v>
      </c>
      <c r="K17">
        <v>22</v>
      </c>
      <c r="L17">
        <v>0</v>
      </c>
    </row>
    <row r="18" spans="1:12" x14ac:dyDescent="0.3">
      <c r="A18">
        <v>0</v>
      </c>
      <c r="B18" t="str">
        <f>IF(Table1[[#This Row],[Glucose]]&lt;100,"Normal",IF(Table1[[#This Row],[Glucose]]&lt;126,"Prediabetes","High Risk"))</f>
        <v>High Risk</v>
      </c>
      <c r="C18">
        <v>129</v>
      </c>
      <c r="D18">
        <v>80</v>
      </c>
      <c r="E18">
        <v>0</v>
      </c>
      <c r="F18">
        <v>0</v>
      </c>
      <c r="G18" t="str">
        <f>IF(Table1[[#This Row],[BMI]]&lt;18.5,"Underweight",IF(Table1[[#This Row],[BMI]]&lt;25,"Normal",IF(Table1[[#This Row],[BMI]]&lt;30,"Overweight","Obese")))</f>
        <v>Obese</v>
      </c>
      <c r="H18">
        <v>31.2</v>
      </c>
      <c r="I18">
        <v>0.70299999999999996</v>
      </c>
      <c r="J18" t="str">
        <f>IF(Table1[[#This Row],[Age]]&lt;30,"Young (&lt;30)",IF(Table1[[#This Row],[Age]]&lt;=50,"Middle Age (30-50)","Older (&gt;50)"))</f>
        <v>Young (&lt;30)</v>
      </c>
      <c r="K18">
        <v>29</v>
      </c>
      <c r="L18">
        <v>0</v>
      </c>
    </row>
    <row r="19" spans="1:12" x14ac:dyDescent="0.3">
      <c r="A19">
        <v>0</v>
      </c>
      <c r="B19" t="str">
        <f>IF(Table1[[#This Row],[Glucose]]&lt;100,"Normal",IF(Table1[[#This Row],[Glucose]]&lt;126,"Prediabetes","High Risk"))</f>
        <v>Prediabetes</v>
      </c>
      <c r="C19">
        <v>102</v>
      </c>
      <c r="D19">
        <v>75</v>
      </c>
      <c r="E19">
        <v>23</v>
      </c>
      <c r="F19">
        <v>0</v>
      </c>
      <c r="G19" t="str">
        <f>IF(Table1[[#This Row],[BMI]]&lt;18.5,"Underweight",IF(Table1[[#This Row],[BMI]]&lt;25,"Normal",IF(Table1[[#This Row],[BMI]]&lt;30,"Overweight","Obese")))</f>
        <v>Underweight</v>
      </c>
      <c r="H19">
        <v>0</v>
      </c>
      <c r="I19">
        <v>0.57199999999999995</v>
      </c>
      <c r="J19" t="str">
        <f>IF(Table1[[#This Row],[Age]]&lt;30,"Young (&lt;30)",IF(Table1[[#This Row],[Age]]&lt;=50,"Middle Age (30-50)","Older (&gt;50)"))</f>
        <v>Young (&lt;30)</v>
      </c>
      <c r="K19">
        <v>21</v>
      </c>
      <c r="L19">
        <v>0</v>
      </c>
    </row>
    <row r="20" spans="1:12" x14ac:dyDescent="0.3">
      <c r="A20">
        <v>0</v>
      </c>
      <c r="B20" t="str">
        <f>IF(Table1[[#This Row],[Glucose]]&lt;100,"Normal",IF(Table1[[#This Row],[Glucose]]&lt;126,"Prediabetes","High Risk"))</f>
        <v>Prediabetes</v>
      </c>
      <c r="C20">
        <v>114</v>
      </c>
      <c r="D20">
        <v>80</v>
      </c>
      <c r="E20">
        <v>34</v>
      </c>
      <c r="F20">
        <v>285</v>
      </c>
      <c r="G20" t="str">
        <f>IF(Table1[[#This Row],[BMI]]&lt;18.5,"Underweight",IF(Table1[[#This Row],[BMI]]&lt;25,"Normal",IF(Table1[[#This Row],[BMI]]&lt;30,"Overweight","Obese")))</f>
        <v>Obese</v>
      </c>
      <c r="H20">
        <v>44.2</v>
      </c>
      <c r="I20">
        <v>0.16700000000000001</v>
      </c>
      <c r="J20" t="str">
        <f>IF(Table1[[#This Row],[Age]]&lt;30,"Young (&lt;30)",IF(Table1[[#This Row],[Age]]&lt;=50,"Middle Age (30-50)","Older (&gt;50)"))</f>
        <v>Young (&lt;30)</v>
      </c>
      <c r="K20">
        <v>27</v>
      </c>
      <c r="L20">
        <v>0</v>
      </c>
    </row>
    <row r="21" spans="1:12" x14ac:dyDescent="0.3">
      <c r="A21">
        <v>0</v>
      </c>
      <c r="B21" t="str">
        <f>IF(Table1[[#This Row],[Glucose]]&lt;100,"Normal",IF(Table1[[#This Row],[Glucose]]&lt;126,"Prediabetes","High Risk"))</f>
        <v>High Risk</v>
      </c>
      <c r="C21">
        <v>131</v>
      </c>
      <c r="D21">
        <v>88</v>
      </c>
      <c r="E21">
        <v>0</v>
      </c>
      <c r="F21">
        <v>0</v>
      </c>
      <c r="G21" t="str">
        <f>IF(Table1[[#This Row],[BMI]]&lt;18.5,"Underweight",IF(Table1[[#This Row],[BMI]]&lt;25,"Normal",IF(Table1[[#This Row],[BMI]]&lt;30,"Overweight","Obese")))</f>
        <v>Obese</v>
      </c>
      <c r="H21">
        <v>31.6</v>
      </c>
      <c r="I21">
        <v>0.74299999999999999</v>
      </c>
      <c r="J21" t="str">
        <f>IF(Table1[[#This Row],[Age]]&lt;30,"Young (&lt;30)",IF(Table1[[#This Row],[Age]]&lt;=50,"Middle Age (30-50)","Older (&gt;50)"))</f>
        <v>Middle Age (30-50)</v>
      </c>
      <c r="K21">
        <v>32</v>
      </c>
      <c r="L21">
        <v>1</v>
      </c>
    </row>
    <row r="22" spans="1:12" x14ac:dyDescent="0.3">
      <c r="A22">
        <v>0</v>
      </c>
      <c r="B22" t="str">
        <f>IF(Table1[[#This Row],[Glucose]]&lt;100,"Normal",IF(Table1[[#This Row],[Glucose]]&lt;126,"Prediabetes","High Risk"))</f>
        <v>High Risk</v>
      </c>
      <c r="C22">
        <v>129</v>
      </c>
      <c r="D22">
        <v>110</v>
      </c>
      <c r="E22">
        <v>46</v>
      </c>
      <c r="F22">
        <v>130</v>
      </c>
      <c r="G22" t="str">
        <f>IF(Table1[[#This Row],[BMI]]&lt;18.5,"Underweight",IF(Table1[[#This Row],[BMI]]&lt;25,"Normal",IF(Table1[[#This Row],[BMI]]&lt;30,"Overweight","Obese")))</f>
        <v>Obese</v>
      </c>
      <c r="H22">
        <v>67.099999999999994</v>
      </c>
      <c r="I22">
        <v>0.31900000000000001</v>
      </c>
      <c r="J22" t="str">
        <f>IF(Table1[[#This Row],[Age]]&lt;30,"Young (&lt;30)",IF(Table1[[#This Row],[Age]]&lt;=50,"Middle Age (30-50)","Older (&gt;50)"))</f>
        <v>Young (&lt;30)</v>
      </c>
      <c r="K22">
        <v>26</v>
      </c>
      <c r="L22">
        <v>1</v>
      </c>
    </row>
    <row r="23" spans="1:12" x14ac:dyDescent="0.3">
      <c r="A23">
        <v>0</v>
      </c>
      <c r="B23" t="str">
        <f>IF(Table1[[#This Row],[Glucose]]&lt;100,"Normal",IF(Table1[[#This Row],[Glucose]]&lt;126,"Prediabetes","High Risk"))</f>
        <v>Prediabetes</v>
      </c>
      <c r="C23">
        <v>119</v>
      </c>
      <c r="D23">
        <v>64</v>
      </c>
      <c r="E23">
        <v>18</v>
      </c>
      <c r="F23">
        <v>92</v>
      </c>
      <c r="G23" t="str">
        <f>IF(Table1[[#This Row],[BMI]]&lt;18.5,"Underweight",IF(Table1[[#This Row],[BMI]]&lt;25,"Normal",IF(Table1[[#This Row],[BMI]]&lt;30,"Overweight","Obese")))</f>
        <v>Obese</v>
      </c>
      <c r="H23">
        <v>34.9</v>
      </c>
      <c r="I23">
        <v>0.72499999999999998</v>
      </c>
      <c r="J23" t="str">
        <f>IF(Table1[[#This Row],[Age]]&lt;30,"Young (&lt;30)",IF(Table1[[#This Row],[Age]]&lt;=50,"Middle Age (30-50)","Older (&gt;50)"))</f>
        <v>Young (&lt;30)</v>
      </c>
      <c r="K23">
        <v>23</v>
      </c>
      <c r="L23">
        <v>0</v>
      </c>
    </row>
    <row r="24" spans="1:12" x14ac:dyDescent="0.3">
      <c r="A24">
        <v>0</v>
      </c>
      <c r="B24" t="str">
        <f>IF(Table1[[#This Row],[Glucose]]&lt;100,"Normal",IF(Table1[[#This Row],[Glucose]]&lt;126,"Prediabetes","High Risk"))</f>
        <v>Prediabetes</v>
      </c>
      <c r="C24">
        <v>113</v>
      </c>
      <c r="D24">
        <v>80</v>
      </c>
      <c r="E24">
        <v>16</v>
      </c>
      <c r="F24">
        <v>0</v>
      </c>
      <c r="G24" t="str">
        <f>IF(Table1[[#This Row],[BMI]]&lt;18.5,"Underweight",IF(Table1[[#This Row],[BMI]]&lt;25,"Normal",IF(Table1[[#This Row],[BMI]]&lt;30,"Overweight","Obese")))</f>
        <v>Obese</v>
      </c>
      <c r="H24">
        <v>31</v>
      </c>
      <c r="I24">
        <v>0.874</v>
      </c>
      <c r="J24" t="str">
        <f>IF(Table1[[#This Row],[Age]]&lt;30,"Young (&lt;30)",IF(Table1[[#This Row],[Age]]&lt;=50,"Middle Age (30-50)","Older (&gt;50)"))</f>
        <v>Young (&lt;30)</v>
      </c>
      <c r="K24">
        <v>21</v>
      </c>
      <c r="L24">
        <v>0</v>
      </c>
    </row>
    <row r="25" spans="1:12" x14ac:dyDescent="0.3">
      <c r="A25">
        <v>0</v>
      </c>
      <c r="B25" t="str">
        <f>IF(Table1[[#This Row],[Glucose]]&lt;100,"Normal",IF(Table1[[#This Row],[Glucose]]&lt;126,"Prediabetes","High Risk"))</f>
        <v>Prediabetes</v>
      </c>
      <c r="C25">
        <v>108</v>
      </c>
      <c r="D25">
        <v>68</v>
      </c>
      <c r="E25">
        <v>20</v>
      </c>
      <c r="F25">
        <v>0</v>
      </c>
      <c r="G25" t="str">
        <f>IF(Table1[[#This Row],[BMI]]&lt;18.5,"Underweight",IF(Table1[[#This Row],[BMI]]&lt;25,"Normal",IF(Table1[[#This Row],[BMI]]&lt;30,"Overweight","Obese")))</f>
        <v>Overweight</v>
      </c>
      <c r="H25">
        <v>27.3</v>
      </c>
      <c r="I25">
        <v>0.78700000000000003</v>
      </c>
      <c r="J25" t="str">
        <f>IF(Table1[[#This Row],[Age]]&lt;30,"Young (&lt;30)",IF(Table1[[#This Row],[Age]]&lt;=50,"Middle Age (30-50)","Older (&gt;50)"))</f>
        <v>Middle Age (30-50)</v>
      </c>
      <c r="K25">
        <v>32</v>
      </c>
      <c r="L25">
        <v>0</v>
      </c>
    </row>
    <row r="26" spans="1:12" x14ac:dyDescent="0.3">
      <c r="A26">
        <v>0</v>
      </c>
      <c r="B26" t="str">
        <f>IF(Table1[[#This Row],[Glucose]]&lt;100,"Normal",IF(Table1[[#This Row],[Glucose]]&lt;126,"Prediabetes","High Risk"))</f>
        <v>High Risk</v>
      </c>
      <c r="C26">
        <v>147</v>
      </c>
      <c r="D26">
        <v>85</v>
      </c>
      <c r="E26">
        <v>54</v>
      </c>
      <c r="F26">
        <v>0</v>
      </c>
      <c r="G26" t="str">
        <f>IF(Table1[[#This Row],[BMI]]&lt;18.5,"Underweight",IF(Table1[[#This Row],[BMI]]&lt;25,"Normal",IF(Table1[[#This Row],[BMI]]&lt;30,"Overweight","Obese")))</f>
        <v>Obese</v>
      </c>
      <c r="H26">
        <v>42.8</v>
      </c>
      <c r="I26">
        <v>0.375</v>
      </c>
      <c r="J26" t="str">
        <f>IF(Table1[[#This Row],[Age]]&lt;30,"Young (&lt;30)",IF(Table1[[#This Row],[Age]]&lt;=50,"Middle Age (30-50)","Older (&gt;50)"))</f>
        <v>Young (&lt;30)</v>
      </c>
      <c r="K26">
        <v>24</v>
      </c>
      <c r="L26">
        <v>0</v>
      </c>
    </row>
    <row r="27" spans="1:12" x14ac:dyDescent="0.3">
      <c r="A27">
        <v>0</v>
      </c>
      <c r="B27" t="str">
        <f>IF(Table1[[#This Row],[Glucose]]&lt;100,"Normal",IF(Table1[[#This Row],[Glucose]]&lt;126,"Prediabetes","High Risk"))</f>
        <v>High Risk</v>
      </c>
      <c r="C27">
        <v>140</v>
      </c>
      <c r="D27">
        <v>65</v>
      </c>
      <c r="E27">
        <v>26</v>
      </c>
      <c r="F27">
        <v>130</v>
      </c>
      <c r="G27" t="str">
        <f>IF(Table1[[#This Row],[BMI]]&lt;18.5,"Underweight",IF(Table1[[#This Row],[BMI]]&lt;25,"Normal",IF(Table1[[#This Row],[BMI]]&lt;30,"Overweight","Obese")))</f>
        <v>Obese</v>
      </c>
      <c r="H27">
        <v>42.6</v>
      </c>
      <c r="I27">
        <v>0.43099999999999999</v>
      </c>
      <c r="J27" t="str">
        <f>IF(Table1[[#This Row],[Age]]&lt;30,"Young (&lt;30)",IF(Table1[[#This Row],[Age]]&lt;=50,"Middle Age (30-50)","Older (&gt;50)"))</f>
        <v>Young (&lt;30)</v>
      </c>
      <c r="K27">
        <v>24</v>
      </c>
      <c r="L27">
        <v>1</v>
      </c>
    </row>
    <row r="28" spans="1:12" x14ac:dyDescent="0.3">
      <c r="A28">
        <v>0</v>
      </c>
      <c r="B28" t="str">
        <f>IF(Table1[[#This Row],[Glucose]]&lt;100,"Normal",IF(Table1[[#This Row],[Glucose]]&lt;126,"Prediabetes","High Risk"))</f>
        <v>High Risk</v>
      </c>
      <c r="C28">
        <v>177</v>
      </c>
      <c r="D28">
        <v>60</v>
      </c>
      <c r="E28">
        <v>29</v>
      </c>
      <c r="F28">
        <v>478</v>
      </c>
      <c r="G28" t="str">
        <f>IF(Table1[[#This Row],[BMI]]&lt;18.5,"Underweight",IF(Table1[[#This Row],[BMI]]&lt;25,"Normal",IF(Table1[[#This Row],[BMI]]&lt;30,"Overweight","Obese")))</f>
        <v>Obese</v>
      </c>
      <c r="H28">
        <v>34.6</v>
      </c>
      <c r="I28">
        <v>1.0720000000000001</v>
      </c>
      <c r="J28" t="str">
        <f>IF(Table1[[#This Row],[Age]]&lt;30,"Young (&lt;30)",IF(Table1[[#This Row],[Age]]&lt;=50,"Middle Age (30-50)","Older (&gt;50)"))</f>
        <v>Young (&lt;30)</v>
      </c>
      <c r="K28">
        <v>21</v>
      </c>
      <c r="L28">
        <v>1</v>
      </c>
    </row>
    <row r="29" spans="1:12" x14ac:dyDescent="0.3">
      <c r="A29">
        <v>0</v>
      </c>
      <c r="B29" t="str">
        <f>IF(Table1[[#This Row],[Glucose]]&lt;100,"Normal",IF(Table1[[#This Row],[Glucose]]&lt;126,"Prediabetes","High Risk"))</f>
        <v>Prediabetes</v>
      </c>
      <c r="C29">
        <v>101</v>
      </c>
      <c r="D29">
        <v>76</v>
      </c>
      <c r="E29">
        <v>0</v>
      </c>
      <c r="F29">
        <v>0</v>
      </c>
      <c r="G29" t="str">
        <f>IF(Table1[[#This Row],[BMI]]&lt;18.5,"Underweight",IF(Table1[[#This Row],[BMI]]&lt;25,"Normal",IF(Table1[[#This Row],[BMI]]&lt;30,"Overweight","Obese")))</f>
        <v>Obese</v>
      </c>
      <c r="H29">
        <v>35.700000000000003</v>
      </c>
      <c r="I29">
        <v>0.19800000000000001</v>
      </c>
      <c r="J29" t="str">
        <f>IF(Table1[[#This Row],[Age]]&lt;30,"Young (&lt;30)",IF(Table1[[#This Row],[Age]]&lt;=50,"Middle Age (30-50)","Older (&gt;50)"))</f>
        <v>Young (&lt;30)</v>
      </c>
      <c r="K29">
        <v>26</v>
      </c>
      <c r="L29">
        <v>0</v>
      </c>
    </row>
    <row r="30" spans="1:12" x14ac:dyDescent="0.3">
      <c r="A30">
        <v>0</v>
      </c>
      <c r="B30" t="str">
        <f>IF(Table1[[#This Row],[Glucose]]&lt;100,"Normal",IF(Table1[[#This Row],[Glucose]]&lt;126,"Prediabetes","High Risk"))</f>
        <v>Prediabetes</v>
      </c>
      <c r="C30">
        <v>117</v>
      </c>
      <c r="D30">
        <v>80</v>
      </c>
      <c r="E30">
        <v>31</v>
      </c>
      <c r="F30">
        <v>53</v>
      </c>
      <c r="G30" t="str">
        <f>IF(Table1[[#This Row],[BMI]]&lt;18.5,"Underweight",IF(Table1[[#This Row],[BMI]]&lt;25,"Normal",IF(Table1[[#This Row],[BMI]]&lt;30,"Overweight","Obese")))</f>
        <v>Obese</v>
      </c>
      <c r="H30">
        <v>45.2</v>
      </c>
      <c r="I30">
        <v>8.8999999999999996E-2</v>
      </c>
      <c r="J30" t="str">
        <f>IF(Table1[[#This Row],[Age]]&lt;30,"Young (&lt;30)",IF(Table1[[#This Row],[Age]]&lt;=50,"Middle Age (30-50)","Older (&gt;50)"))</f>
        <v>Young (&lt;30)</v>
      </c>
      <c r="K30">
        <v>24</v>
      </c>
      <c r="L30">
        <v>0</v>
      </c>
    </row>
    <row r="31" spans="1:12" x14ac:dyDescent="0.3">
      <c r="A31">
        <v>0</v>
      </c>
      <c r="B31" t="str">
        <f>IF(Table1[[#This Row],[Glucose]]&lt;100,"Normal",IF(Table1[[#This Row],[Glucose]]&lt;126,"Prediabetes","High Risk"))</f>
        <v>High Risk</v>
      </c>
      <c r="C31">
        <v>179</v>
      </c>
      <c r="D31">
        <v>90</v>
      </c>
      <c r="E31">
        <v>27</v>
      </c>
      <c r="F31">
        <v>0</v>
      </c>
      <c r="G31" t="str">
        <f>IF(Table1[[#This Row],[BMI]]&lt;18.5,"Underweight",IF(Table1[[#This Row],[BMI]]&lt;25,"Normal",IF(Table1[[#This Row],[BMI]]&lt;30,"Overweight","Obese")))</f>
        <v>Obese</v>
      </c>
      <c r="H31">
        <v>44.1</v>
      </c>
      <c r="I31">
        <v>0.68600000000000005</v>
      </c>
      <c r="J31" t="str">
        <f>IF(Table1[[#This Row],[Age]]&lt;30,"Young (&lt;30)",IF(Table1[[#This Row],[Age]]&lt;=50,"Middle Age (30-50)","Older (&gt;50)"))</f>
        <v>Young (&lt;30)</v>
      </c>
      <c r="K31">
        <v>23</v>
      </c>
      <c r="L31">
        <v>1</v>
      </c>
    </row>
    <row r="32" spans="1:12" x14ac:dyDescent="0.3">
      <c r="A32">
        <v>0</v>
      </c>
      <c r="B32" t="str">
        <f>IF(Table1[[#This Row],[Glucose]]&lt;100,"Normal",IF(Table1[[#This Row],[Glucose]]&lt;126,"Prediabetes","High Risk"))</f>
        <v>Prediabetes</v>
      </c>
      <c r="C32">
        <v>104</v>
      </c>
      <c r="D32">
        <v>76</v>
      </c>
      <c r="E32">
        <v>0</v>
      </c>
      <c r="F32">
        <v>0</v>
      </c>
      <c r="G32" t="str">
        <f>IF(Table1[[#This Row],[BMI]]&lt;18.5,"Underweight",IF(Table1[[#This Row],[BMI]]&lt;25,"Normal",IF(Table1[[#This Row],[BMI]]&lt;30,"Overweight","Obese")))</f>
        <v>Underweight</v>
      </c>
      <c r="H32">
        <v>18.399999999999999</v>
      </c>
      <c r="I32">
        <v>0.58199999999999996</v>
      </c>
      <c r="J32" t="str">
        <f>IF(Table1[[#This Row],[Age]]&lt;30,"Young (&lt;30)",IF(Table1[[#This Row],[Age]]&lt;=50,"Middle Age (30-50)","Older (&gt;50)"))</f>
        <v>Young (&lt;30)</v>
      </c>
      <c r="K32">
        <v>27</v>
      </c>
      <c r="L32">
        <v>0</v>
      </c>
    </row>
    <row r="33" spans="1:12" x14ac:dyDescent="0.3">
      <c r="A33">
        <v>0</v>
      </c>
      <c r="B33" t="str">
        <f>IF(Table1[[#This Row],[Glucose]]&lt;100,"Normal",IF(Table1[[#This Row],[Glucose]]&lt;126,"Prediabetes","High Risk"))</f>
        <v>High Risk</v>
      </c>
      <c r="C33">
        <v>165</v>
      </c>
      <c r="D33">
        <v>90</v>
      </c>
      <c r="E33">
        <v>33</v>
      </c>
      <c r="F33">
        <v>680</v>
      </c>
      <c r="G33" t="str">
        <f>IF(Table1[[#This Row],[BMI]]&lt;18.5,"Underweight",IF(Table1[[#This Row],[BMI]]&lt;25,"Normal",IF(Table1[[#This Row],[BMI]]&lt;30,"Overweight","Obese")))</f>
        <v>Obese</v>
      </c>
      <c r="H33">
        <v>52.3</v>
      </c>
      <c r="I33">
        <v>0.42699999999999999</v>
      </c>
      <c r="J33" t="str">
        <f>IF(Table1[[#This Row],[Age]]&lt;30,"Young (&lt;30)",IF(Table1[[#This Row],[Age]]&lt;=50,"Middle Age (30-50)","Older (&gt;50)"))</f>
        <v>Young (&lt;30)</v>
      </c>
      <c r="K33">
        <v>23</v>
      </c>
      <c r="L33">
        <v>0</v>
      </c>
    </row>
    <row r="34" spans="1:12" x14ac:dyDescent="0.3">
      <c r="A34">
        <v>0</v>
      </c>
      <c r="B34" t="str">
        <f>IF(Table1[[#This Row],[Glucose]]&lt;100,"Normal",IF(Table1[[#This Row],[Glucose]]&lt;126,"Prediabetes","High Risk"))</f>
        <v>Normal</v>
      </c>
      <c r="C34">
        <v>86</v>
      </c>
      <c r="D34">
        <v>68</v>
      </c>
      <c r="E34">
        <v>32</v>
      </c>
      <c r="F34">
        <v>0</v>
      </c>
      <c r="G34" t="str">
        <f>IF(Table1[[#This Row],[BMI]]&lt;18.5,"Underweight",IF(Table1[[#This Row],[BMI]]&lt;25,"Normal",IF(Table1[[#This Row],[BMI]]&lt;30,"Overweight","Obese")))</f>
        <v>Obese</v>
      </c>
      <c r="H34">
        <v>35.799999999999997</v>
      </c>
      <c r="I34">
        <v>0.23799999999999999</v>
      </c>
      <c r="J34" t="str">
        <f>IF(Table1[[#This Row],[Age]]&lt;30,"Young (&lt;30)",IF(Table1[[#This Row],[Age]]&lt;=50,"Middle Age (30-50)","Older (&gt;50)"))</f>
        <v>Young (&lt;30)</v>
      </c>
      <c r="K34">
        <v>25</v>
      </c>
      <c r="L34">
        <v>0</v>
      </c>
    </row>
    <row r="35" spans="1:12" x14ac:dyDescent="0.3">
      <c r="A35">
        <v>0</v>
      </c>
      <c r="B35" t="str">
        <f>IF(Table1[[#This Row],[Glucose]]&lt;100,"Normal",IF(Table1[[#This Row],[Glucose]]&lt;126,"Prediabetes","High Risk"))</f>
        <v>High Risk</v>
      </c>
      <c r="C35">
        <v>138</v>
      </c>
      <c r="D35">
        <v>0</v>
      </c>
      <c r="E35">
        <v>0</v>
      </c>
      <c r="F35">
        <v>0</v>
      </c>
      <c r="G35" t="str">
        <f>IF(Table1[[#This Row],[BMI]]&lt;18.5,"Underweight",IF(Table1[[#This Row],[BMI]]&lt;25,"Normal",IF(Table1[[#This Row],[BMI]]&lt;30,"Overweight","Obese")))</f>
        <v>Obese</v>
      </c>
      <c r="H35">
        <v>36.299999999999997</v>
      </c>
      <c r="I35">
        <v>0.93300000000000005</v>
      </c>
      <c r="J35" t="str">
        <f>IF(Table1[[#This Row],[Age]]&lt;30,"Young (&lt;30)",IF(Table1[[#This Row],[Age]]&lt;=50,"Middle Age (30-50)","Older (&gt;50)"))</f>
        <v>Young (&lt;30)</v>
      </c>
      <c r="K35">
        <v>25</v>
      </c>
      <c r="L35">
        <v>1</v>
      </c>
    </row>
    <row r="36" spans="1:12" x14ac:dyDescent="0.3">
      <c r="A36">
        <v>0</v>
      </c>
      <c r="B36" t="str">
        <f>IF(Table1[[#This Row],[Glucose]]&lt;100,"Normal",IF(Table1[[#This Row],[Glucose]]&lt;126,"Prediabetes","High Risk"))</f>
        <v>Prediabetes</v>
      </c>
      <c r="C36">
        <v>102</v>
      </c>
      <c r="D36">
        <v>52</v>
      </c>
      <c r="E36">
        <v>0</v>
      </c>
      <c r="F36">
        <v>0</v>
      </c>
      <c r="G36" t="str">
        <f>IF(Table1[[#This Row],[BMI]]&lt;18.5,"Underweight",IF(Table1[[#This Row],[BMI]]&lt;25,"Normal",IF(Table1[[#This Row],[BMI]]&lt;30,"Overweight","Obese")))</f>
        <v>Overweight</v>
      </c>
      <c r="H36">
        <v>25.1</v>
      </c>
      <c r="I36">
        <v>7.8E-2</v>
      </c>
      <c r="J36" t="str">
        <f>IF(Table1[[#This Row],[Age]]&lt;30,"Young (&lt;30)",IF(Table1[[#This Row],[Age]]&lt;=50,"Middle Age (30-50)","Older (&gt;50)"))</f>
        <v>Young (&lt;30)</v>
      </c>
      <c r="K36">
        <v>21</v>
      </c>
      <c r="L36">
        <v>0</v>
      </c>
    </row>
    <row r="37" spans="1:12" x14ac:dyDescent="0.3">
      <c r="A37">
        <v>0</v>
      </c>
      <c r="B37" t="str">
        <f>IF(Table1[[#This Row],[Glucose]]&lt;100,"Normal",IF(Table1[[#This Row],[Glucose]]&lt;126,"Prediabetes","High Risk"))</f>
        <v>Prediabetes</v>
      </c>
      <c r="C37">
        <v>104</v>
      </c>
      <c r="D37">
        <v>64</v>
      </c>
      <c r="E37">
        <v>23</v>
      </c>
      <c r="F37">
        <v>116</v>
      </c>
      <c r="G37" t="str">
        <f>IF(Table1[[#This Row],[BMI]]&lt;18.5,"Underweight",IF(Table1[[#This Row],[BMI]]&lt;25,"Normal",IF(Table1[[#This Row],[BMI]]&lt;30,"Overweight","Obese")))</f>
        <v>Overweight</v>
      </c>
      <c r="H37">
        <v>27.8</v>
      </c>
      <c r="I37">
        <v>0.45400000000000001</v>
      </c>
      <c r="J37" t="str">
        <f>IF(Table1[[#This Row],[Age]]&lt;30,"Young (&lt;30)",IF(Table1[[#This Row],[Age]]&lt;=50,"Middle Age (30-50)","Older (&gt;50)"))</f>
        <v>Young (&lt;30)</v>
      </c>
      <c r="K37">
        <v>23</v>
      </c>
      <c r="L37">
        <v>0</v>
      </c>
    </row>
    <row r="38" spans="1:12" x14ac:dyDescent="0.3">
      <c r="A38">
        <v>0</v>
      </c>
      <c r="B38" t="str">
        <f>IF(Table1[[#This Row],[Glucose]]&lt;100,"Normal",IF(Table1[[#This Row],[Glucose]]&lt;126,"Prediabetes","High Risk"))</f>
        <v>High Risk</v>
      </c>
      <c r="C38">
        <v>146</v>
      </c>
      <c r="D38">
        <v>70</v>
      </c>
      <c r="E38">
        <v>0</v>
      </c>
      <c r="F38">
        <v>0</v>
      </c>
      <c r="G38" t="str">
        <f>IF(Table1[[#This Row],[BMI]]&lt;18.5,"Underweight",IF(Table1[[#This Row],[BMI]]&lt;25,"Normal",IF(Table1[[#This Row],[BMI]]&lt;30,"Overweight","Obese")))</f>
        <v>Obese</v>
      </c>
      <c r="H38">
        <v>37.9</v>
      </c>
      <c r="I38">
        <v>0.33400000000000002</v>
      </c>
      <c r="J38" t="str">
        <f>IF(Table1[[#This Row],[Age]]&lt;30,"Young (&lt;30)",IF(Table1[[#This Row],[Age]]&lt;=50,"Middle Age (30-50)","Older (&gt;50)"))</f>
        <v>Young (&lt;30)</v>
      </c>
      <c r="K38">
        <v>28</v>
      </c>
      <c r="L38">
        <v>1</v>
      </c>
    </row>
    <row r="39" spans="1:12" x14ac:dyDescent="0.3">
      <c r="A39">
        <v>0</v>
      </c>
      <c r="B39" t="str">
        <f>IF(Table1[[#This Row],[Glucose]]&lt;100,"Normal",IF(Table1[[#This Row],[Glucose]]&lt;126,"Prediabetes","High Risk"))</f>
        <v>Normal</v>
      </c>
      <c r="C39">
        <v>78</v>
      </c>
      <c r="D39">
        <v>88</v>
      </c>
      <c r="E39">
        <v>29</v>
      </c>
      <c r="F39">
        <v>40</v>
      </c>
      <c r="G39" t="str">
        <f>IF(Table1[[#This Row],[BMI]]&lt;18.5,"Underweight",IF(Table1[[#This Row],[BMI]]&lt;25,"Normal",IF(Table1[[#This Row],[BMI]]&lt;30,"Overweight","Obese")))</f>
        <v>Obese</v>
      </c>
      <c r="H39">
        <v>36.9</v>
      </c>
      <c r="I39">
        <v>0.434</v>
      </c>
      <c r="J39" t="str">
        <f>IF(Table1[[#This Row],[Age]]&lt;30,"Young (&lt;30)",IF(Table1[[#This Row],[Age]]&lt;=50,"Middle Age (30-50)","Older (&gt;50)"))</f>
        <v>Young (&lt;30)</v>
      </c>
      <c r="K39">
        <v>21</v>
      </c>
      <c r="L39">
        <v>0</v>
      </c>
    </row>
    <row r="40" spans="1:12" x14ac:dyDescent="0.3">
      <c r="A40">
        <v>0</v>
      </c>
      <c r="B40" t="str">
        <f>IF(Table1[[#This Row],[Glucose]]&lt;100,"Normal",IF(Table1[[#This Row],[Glucose]]&lt;126,"Prediabetes","High Risk"))</f>
        <v>Prediabetes</v>
      </c>
      <c r="C40">
        <v>107</v>
      </c>
      <c r="D40">
        <v>62</v>
      </c>
      <c r="E40">
        <v>30</v>
      </c>
      <c r="F40">
        <v>74</v>
      </c>
      <c r="G40" t="str">
        <f>IF(Table1[[#This Row],[BMI]]&lt;18.5,"Underweight",IF(Table1[[#This Row],[BMI]]&lt;25,"Normal",IF(Table1[[#This Row],[BMI]]&lt;30,"Overweight","Obese")))</f>
        <v>Obese</v>
      </c>
      <c r="H40">
        <v>36.6</v>
      </c>
      <c r="I40">
        <v>0.75700000000000001</v>
      </c>
      <c r="J40" t="str">
        <f>IF(Table1[[#This Row],[Age]]&lt;30,"Young (&lt;30)",IF(Table1[[#This Row],[Age]]&lt;=50,"Middle Age (30-50)","Older (&gt;50)"))</f>
        <v>Young (&lt;30)</v>
      </c>
      <c r="K40">
        <v>25</v>
      </c>
      <c r="L40">
        <v>1</v>
      </c>
    </row>
    <row r="41" spans="1:12" x14ac:dyDescent="0.3">
      <c r="A41">
        <v>0</v>
      </c>
      <c r="B41" t="str">
        <f>IF(Table1[[#This Row],[Glucose]]&lt;100,"Normal",IF(Table1[[#This Row],[Glucose]]&lt;126,"Prediabetes","High Risk"))</f>
        <v>High Risk</v>
      </c>
      <c r="C41">
        <v>161</v>
      </c>
      <c r="D41">
        <v>50</v>
      </c>
      <c r="E41">
        <v>0</v>
      </c>
      <c r="F41">
        <v>0</v>
      </c>
      <c r="G41" t="str">
        <f>IF(Table1[[#This Row],[BMI]]&lt;18.5,"Underweight",IF(Table1[[#This Row],[BMI]]&lt;25,"Normal",IF(Table1[[#This Row],[BMI]]&lt;30,"Overweight","Obese")))</f>
        <v>Normal</v>
      </c>
      <c r="H41">
        <v>21.9</v>
      </c>
      <c r="I41">
        <v>0.254</v>
      </c>
      <c r="J41" t="str">
        <f>IF(Table1[[#This Row],[Age]]&lt;30,"Young (&lt;30)",IF(Table1[[#This Row],[Age]]&lt;=50,"Middle Age (30-50)","Older (&gt;50)"))</f>
        <v>Older (&gt;50)</v>
      </c>
      <c r="K41">
        <v>65</v>
      </c>
      <c r="L41">
        <v>0</v>
      </c>
    </row>
    <row r="42" spans="1:12" x14ac:dyDescent="0.3">
      <c r="A42">
        <v>0</v>
      </c>
      <c r="B42" t="str">
        <f>IF(Table1[[#This Row],[Glucose]]&lt;100,"Normal",IF(Table1[[#This Row],[Glucose]]&lt;126,"Prediabetes","High Risk"))</f>
        <v>High Risk</v>
      </c>
      <c r="C42">
        <v>126</v>
      </c>
      <c r="D42">
        <v>84</v>
      </c>
      <c r="E42">
        <v>29</v>
      </c>
      <c r="F42">
        <v>215</v>
      </c>
      <c r="G42" t="str">
        <f>IF(Table1[[#This Row],[BMI]]&lt;18.5,"Underweight",IF(Table1[[#This Row],[BMI]]&lt;25,"Normal",IF(Table1[[#This Row],[BMI]]&lt;30,"Overweight","Obese")))</f>
        <v>Obese</v>
      </c>
      <c r="H42">
        <v>30.7</v>
      </c>
      <c r="I42">
        <v>0.52</v>
      </c>
      <c r="J42" t="str">
        <f>IF(Table1[[#This Row],[Age]]&lt;30,"Young (&lt;30)",IF(Table1[[#This Row],[Age]]&lt;=50,"Middle Age (30-50)","Older (&gt;50)"))</f>
        <v>Young (&lt;30)</v>
      </c>
      <c r="K42">
        <v>24</v>
      </c>
      <c r="L42">
        <v>0</v>
      </c>
    </row>
    <row r="43" spans="1:12" x14ac:dyDescent="0.3">
      <c r="A43">
        <v>0</v>
      </c>
      <c r="B43" t="str">
        <f>IF(Table1[[#This Row],[Glucose]]&lt;100,"Normal",IF(Table1[[#This Row],[Glucose]]&lt;126,"Prediabetes","High Risk"))</f>
        <v>High Risk</v>
      </c>
      <c r="C43">
        <v>167</v>
      </c>
      <c r="D43">
        <v>0</v>
      </c>
      <c r="E43">
        <v>0</v>
      </c>
      <c r="F43">
        <v>0</v>
      </c>
      <c r="G43" t="str">
        <f>IF(Table1[[#This Row],[BMI]]&lt;18.5,"Underweight",IF(Table1[[#This Row],[BMI]]&lt;25,"Normal",IF(Table1[[#This Row],[BMI]]&lt;30,"Overweight","Obese")))</f>
        <v>Obese</v>
      </c>
      <c r="H43">
        <v>32.299999999999997</v>
      </c>
      <c r="I43">
        <v>0.83899999999999997</v>
      </c>
      <c r="J43" t="str">
        <f>IF(Table1[[#This Row],[Age]]&lt;30,"Young (&lt;30)",IF(Table1[[#This Row],[Age]]&lt;=50,"Middle Age (30-50)","Older (&gt;50)"))</f>
        <v>Middle Age (30-50)</v>
      </c>
      <c r="K43">
        <v>30</v>
      </c>
      <c r="L43">
        <v>1</v>
      </c>
    </row>
    <row r="44" spans="1:12" x14ac:dyDescent="0.3">
      <c r="A44">
        <v>0</v>
      </c>
      <c r="B44" t="str">
        <f>IF(Table1[[#This Row],[Glucose]]&lt;100,"Normal",IF(Table1[[#This Row],[Glucose]]&lt;126,"Prediabetes","High Risk"))</f>
        <v>High Risk</v>
      </c>
      <c r="C44">
        <v>137</v>
      </c>
      <c r="D44">
        <v>68</v>
      </c>
      <c r="E44">
        <v>14</v>
      </c>
      <c r="F44">
        <v>148</v>
      </c>
      <c r="G44" t="str">
        <f>IF(Table1[[#This Row],[BMI]]&lt;18.5,"Underweight",IF(Table1[[#This Row],[BMI]]&lt;25,"Normal",IF(Table1[[#This Row],[BMI]]&lt;30,"Overweight","Obese")))</f>
        <v>Normal</v>
      </c>
      <c r="H44">
        <v>24.8</v>
      </c>
      <c r="I44">
        <v>0.14299999999999999</v>
      </c>
      <c r="J44" t="str">
        <f>IF(Table1[[#This Row],[Age]]&lt;30,"Young (&lt;30)",IF(Table1[[#This Row],[Age]]&lt;=50,"Middle Age (30-50)","Older (&gt;50)"))</f>
        <v>Young (&lt;30)</v>
      </c>
      <c r="K44">
        <v>21</v>
      </c>
      <c r="L44">
        <v>0</v>
      </c>
    </row>
    <row r="45" spans="1:12" x14ac:dyDescent="0.3">
      <c r="A45">
        <v>0</v>
      </c>
      <c r="B45" t="str">
        <f>IF(Table1[[#This Row],[Glucose]]&lt;100,"Normal",IF(Table1[[#This Row],[Glucose]]&lt;126,"Prediabetes","High Risk"))</f>
        <v>High Risk</v>
      </c>
      <c r="C45">
        <v>128</v>
      </c>
      <c r="D45">
        <v>68</v>
      </c>
      <c r="E45">
        <v>19</v>
      </c>
      <c r="F45">
        <v>180</v>
      </c>
      <c r="G45" t="str">
        <f>IF(Table1[[#This Row],[BMI]]&lt;18.5,"Underweight",IF(Table1[[#This Row],[BMI]]&lt;25,"Normal",IF(Table1[[#This Row],[BMI]]&lt;30,"Overweight","Obese")))</f>
        <v>Obese</v>
      </c>
      <c r="H45">
        <v>30.5</v>
      </c>
      <c r="I45">
        <v>1.391</v>
      </c>
      <c r="J45" t="str">
        <f>IF(Table1[[#This Row],[Age]]&lt;30,"Young (&lt;30)",IF(Table1[[#This Row],[Age]]&lt;=50,"Middle Age (30-50)","Older (&gt;50)"))</f>
        <v>Young (&lt;30)</v>
      </c>
      <c r="K45">
        <v>25</v>
      </c>
      <c r="L45">
        <v>1</v>
      </c>
    </row>
    <row r="46" spans="1:12" x14ac:dyDescent="0.3">
      <c r="A46">
        <v>0</v>
      </c>
      <c r="B46" t="str">
        <f>IF(Table1[[#This Row],[Glucose]]&lt;100,"Normal",IF(Table1[[#This Row],[Glucose]]&lt;126,"Prediabetes","High Risk"))</f>
        <v>Prediabetes</v>
      </c>
      <c r="C46">
        <v>106</v>
      </c>
      <c r="D46">
        <v>70</v>
      </c>
      <c r="E46">
        <v>37</v>
      </c>
      <c r="F46">
        <v>148</v>
      </c>
      <c r="G46" t="str">
        <f>IF(Table1[[#This Row],[BMI]]&lt;18.5,"Underweight",IF(Table1[[#This Row],[BMI]]&lt;25,"Normal",IF(Table1[[#This Row],[BMI]]&lt;30,"Overweight","Obese")))</f>
        <v>Obese</v>
      </c>
      <c r="H46">
        <v>39.4</v>
      </c>
      <c r="I46">
        <v>0.60499999999999998</v>
      </c>
      <c r="J46" t="str">
        <f>IF(Table1[[#This Row],[Age]]&lt;30,"Young (&lt;30)",IF(Table1[[#This Row],[Age]]&lt;=50,"Middle Age (30-50)","Older (&gt;50)"))</f>
        <v>Young (&lt;30)</v>
      </c>
      <c r="K46">
        <v>22</v>
      </c>
      <c r="L46">
        <v>0</v>
      </c>
    </row>
    <row r="47" spans="1:12" x14ac:dyDescent="0.3">
      <c r="A47">
        <v>0</v>
      </c>
      <c r="B47" t="str">
        <f>IF(Table1[[#This Row],[Glucose]]&lt;100,"Normal",IF(Table1[[#This Row],[Glucose]]&lt;126,"Prediabetes","High Risk"))</f>
        <v>Prediabetes</v>
      </c>
      <c r="C47">
        <v>124</v>
      </c>
      <c r="D47">
        <v>70</v>
      </c>
      <c r="E47">
        <v>20</v>
      </c>
      <c r="F47">
        <v>0</v>
      </c>
      <c r="G47" t="str">
        <f>IF(Table1[[#This Row],[BMI]]&lt;18.5,"Underweight",IF(Table1[[#This Row],[BMI]]&lt;25,"Normal",IF(Table1[[#This Row],[BMI]]&lt;30,"Overweight","Obese")))</f>
        <v>Overweight</v>
      </c>
      <c r="H47">
        <v>27.4</v>
      </c>
      <c r="I47">
        <v>0.254</v>
      </c>
      <c r="J47" t="str">
        <f>IF(Table1[[#This Row],[Age]]&lt;30,"Young (&lt;30)",IF(Table1[[#This Row],[Age]]&lt;=50,"Middle Age (30-50)","Older (&gt;50)"))</f>
        <v>Middle Age (30-50)</v>
      </c>
      <c r="K47">
        <v>36</v>
      </c>
      <c r="L47">
        <v>1</v>
      </c>
    </row>
    <row r="48" spans="1:12" x14ac:dyDescent="0.3">
      <c r="A48">
        <v>0</v>
      </c>
      <c r="B48" t="str">
        <f>IF(Table1[[#This Row],[Glucose]]&lt;100,"Normal",IF(Table1[[#This Row],[Glucose]]&lt;126,"Prediabetes","High Risk"))</f>
        <v>High Risk</v>
      </c>
      <c r="C48">
        <v>165</v>
      </c>
      <c r="D48">
        <v>76</v>
      </c>
      <c r="E48">
        <v>43</v>
      </c>
      <c r="F48">
        <v>255</v>
      </c>
      <c r="G48" t="str">
        <f>IF(Table1[[#This Row],[BMI]]&lt;18.5,"Underweight",IF(Table1[[#This Row],[BMI]]&lt;25,"Normal",IF(Table1[[#This Row],[BMI]]&lt;30,"Overweight","Obese")))</f>
        <v>Obese</v>
      </c>
      <c r="H48">
        <v>47.9</v>
      </c>
      <c r="I48">
        <v>0.25900000000000001</v>
      </c>
      <c r="J48" t="str">
        <f>IF(Table1[[#This Row],[Age]]&lt;30,"Young (&lt;30)",IF(Table1[[#This Row],[Age]]&lt;=50,"Middle Age (30-50)","Older (&gt;50)"))</f>
        <v>Young (&lt;30)</v>
      </c>
      <c r="K48">
        <v>26</v>
      </c>
      <c r="L48">
        <v>0</v>
      </c>
    </row>
    <row r="49" spans="1:12" x14ac:dyDescent="0.3">
      <c r="A49">
        <v>0</v>
      </c>
      <c r="B49" t="str">
        <f>IF(Table1[[#This Row],[Glucose]]&lt;100,"Normal",IF(Table1[[#This Row],[Glucose]]&lt;126,"Prediabetes","High Risk"))</f>
        <v>Prediabetes</v>
      </c>
      <c r="C49">
        <v>117</v>
      </c>
      <c r="D49">
        <v>0</v>
      </c>
      <c r="E49">
        <v>0</v>
      </c>
      <c r="F49">
        <v>0</v>
      </c>
      <c r="G49" t="str">
        <f>IF(Table1[[#This Row],[BMI]]&lt;18.5,"Underweight",IF(Table1[[#This Row],[BMI]]&lt;25,"Normal",IF(Table1[[#This Row],[BMI]]&lt;30,"Overweight","Obese")))</f>
        <v>Obese</v>
      </c>
      <c r="H49">
        <v>33.799999999999997</v>
      </c>
      <c r="I49">
        <v>0.93200000000000005</v>
      </c>
      <c r="J49" t="str">
        <f>IF(Table1[[#This Row],[Age]]&lt;30,"Young (&lt;30)",IF(Table1[[#This Row],[Age]]&lt;=50,"Middle Age (30-50)","Older (&gt;50)"))</f>
        <v>Middle Age (30-50)</v>
      </c>
      <c r="K49">
        <v>44</v>
      </c>
      <c r="L49">
        <v>0</v>
      </c>
    </row>
    <row r="50" spans="1:12" x14ac:dyDescent="0.3">
      <c r="A50">
        <v>0</v>
      </c>
      <c r="B50" t="str">
        <f>IF(Table1[[#This Row],[Glucose]]&lt;100,"Normal",IF(Table1[[#This Row],[Glucose]]&lt;126,"Prediabetes","High Risk"))</f>
        <v>Prediabetes</v>
      </c>
      <c r="C50">
        <v>101</v>
      </c>
      <c r="D50">
        <v>64</v>
      </c>
      <c r="E50">
        <v>17</v>
      </c>
      <c r="F50">
        <v>0</v>
      </c>
      <c r="G50" t="str">
        <f>IF(Table1[[#This Row],[BMI]]&lt;18.5,"Underweight",IF(Table1[[#This Row],[BMI]]&lt;25,"Normal",IF(Table1[[#This Row],[BMI]]&lt;30,"Overweight","Obese")))</f>
        <v>Normal</v>
      </c>
      <c r="H50">
        <v>21</v>
      </c>
      <c r="I50">
        <v>0.252</v>
      </c>
      <c r="J50" t="str">
        <f>IF(Table1[[#This Row],[Age]]&lt;30,"Young (&lt;30)",IF(Table1[[#This Row],[Age]]&lt;=50,"Middle Age (30-50)","Older (&gt;50)"))</f>
        <v>Young (&lt;30)</v>
      </c>
      <c r="K50">
        <v>21</v>
      </c>
      <c r="L50">
        <v>0</v>
      </c>
    </row>
    <row r="51" spans="1:12" x14ac:dyDescent="0.3">
      <c r="A51">
        <v>0</v>
      </c>
      <c r="B51" t="str">
        <f>IF(Table1[[#This Row],[Glucose]]&lt;100,"Normal",IF(Table1[[#This Row],[Glucose]]&lt;126,"Prediabetes","High Risk"))</f>
        <v>Prediabetes</v>
      </c>
      <c r="C51">
        <v>118</v>
      </c>
      <c r="D51">
        <v>64</v>
      </c>
      <c r="E51">
        <v>23</v>
      </c>
      <c r="F51">
        <v>89</v>
      </c>
      <c r="G51" t="str">
        <f>IF(Table1[[#This Row],[BMI]]&lt;18.5,"Underweight",IF(Table1[[#This Row],[BMI]]&lt;25,"Normal",IF(Table1[[#This Row],[BMI]]&lt;30,"Overweight","Obese")))</f>
        <v>Underweight</v>
      </c>
      <c r="H51">
        <v>0</v>
      </c>
      <c r="I51">
        <v>1.7310000000000001</v>
      </c>
      <c r="J51" t="str">
        <f>IF(Table1[[#This Row],[Age]]&lt;30,"Young (&lt;30)",IF(Table1[[#This Row],[Age]]&lt;=50,"Middle Age (30-50)","Older (&gt;50)"))</f>
        <v>Young (&lt;30)</v>
      </c>
      <c r="K51">
        <v>21</v>
      </c>
      <c r="L51">
        <v>0</v>
      </c>
    </row>
    <row r="52" spans="1:12" x14ac:dyDescent="0.3">
      <c r="A52">
        <v>0</v>
      </c>
      <c r="B52" t="str">
        <f>IF(Table1[[#This Row],[Glucose]]&lt;100,"Normal",IF(Table1[[#This Row],[Glucose]]&lt;126,"Prediabetes","High Risk"))</f>
        <v>Normal</v>
      </c>
      <c r="C52">
        <v>84</v>
      </c>
      <c r="D52">
        <v>64</v>
      </c>
      <c r="E52">
        <v>22</v>
      </c>
      <c r="F52">
        <v>66</v>
      </c>
      <c r="G52" t="str">
        <f>IF(Table1[[#This Row],[BMI]]&lt;18.5,"Underweight",IF(Table1[[#This Row],[BMI]]&lt;25,"Normal",IF(Table1[[#This Row],[BMI]]&lt;30,"Overweight","Obese")))</f>
        <v>Obese</v>
      </c>
      <c r="H52">
        <v>35.799999999999997</v>
      </c>
      <c r="I52">
        <v>0.54500000000000004</v>
      </c>
      <c r="J52" t="str">
        <f>IF(Table1[[#This Row],[Age]]&lt;30,"Young (&lt;30)",IF(Table1[[#This Row],[Age]]&lt;=50,"Middle Age (30-50)","Older (&gt;50)"))</f>
        <v>Young (&lt;30)</v>
      </c>
      <c r="K52">
        <v>21</v>
      </c>
      <c r="L52">
        <v>0</v>
      </c>
    </row>
    <row r="53" spans="1:12" x14ac:dyDescent="0.3">
      <c r="A53">
        <v>0</v>
      </c>
      <c r="B53" t="str">
        <f>IF(Table1[[#This Row],[Glucose]]&lt;100,"Normal",IF(Table1[[#This Row],[Glucose]]&lt;126,"Prediabetes","High Risk"))</f>
        <v>Normal</v>
      </c>
      <c r="C53">
        <v>98</v>
      </c>
      <c r="D53">
        <v>82</v>
      </c>
      <c r="E53">
        <v>15</v>
      </c>
      <c r="F53">
        <v>84</v>
      </c>
      <c r="G53" t="str">
        <f>IF(Table1[[#This Row],[BMI]]&lt;18.5,"Underweight",IF(Table1[[#This Row],[BMI]]&lt;25,"Normal",IF(Table1[[#This Row],[BMI]]&lt;30,"Overweight","Obese")))</f>
        <v>Overweight</v>
      </c>
      <c r="H53">
        <v>25.2</v>
      </c>
      <c r="I53">
        <v>0.29899999999999999</v>
      </c>
      <c r="J53" t="str">
        <f>IF(Table1[[#This Row],[Age]]&lt;30,"Young (&lt;30)",IF(Table1[[#This Row],[Age]]&lt;=50,"Middle Age (30-50)","Older (&gt;50)"))</f>
        <v>Young (&lt;30)</v>
      </c>
      <c r="K53">
        <v>22</v>
      </c>
      <c r="L53">
        <v>0</v>
      </c>
    </row>
    <row r="54" spans="1:12" x14ac:dyDescent="0.3">
      <c r="A54">
        <v>0</v>
      </c>
      <c r="B54" t="str">
        <f>IF(Table1[[#This Row],[Glucose]]&lt;100,"Normal",IF(Table1[[#This Row],[Glucose]]&lt;126,"Prediabetes","High Risk"))</f>
        <v>Normal</v>
      </c>
      <c r="C54">
        <v>93</v>
      </c>
      <c r="D54">
        <v>100</v>
      </c>
      <c r="E54">
        <v>39</v>
      </c>
      <c r="F54">
        <v>72</v>
      </c>
      <c r="G54" t="str">
        <f>IF(Table1[[#This Row],[BMI]]&lt;18.5,"Underweight",IF(Table1[[#This Row],[BMI]]&lt;25,"Normal",IF(Table1[[#This Row],[BMI]]&lt;30,"Overweight","Obese")))</f>
        <v>Obese</v>
      </c>
      <c r="H54">
        <v>43.4</v>
      </c>
      <c r="I54">
        <v>1.0209999999999999</v>
      </c>
      <c r="J54" t="str">
        <f>IF(Table1[[#This Row],[Age]]&lt;30,"Young (&lt;30)",IF(Table1[[#This Row],[Age]]&lt;=50,"Middle Age (30-50)","Older (&gt;50)"))</f>
        <v>Middle Age (30-50)</v>
      </c>
      <c r="K54">
        <v>35</v>
      </c>
      <c r="L54">
        <v>0</v>
      </c>
    </row>
    <row r="55" spans="1:12" x14ac:dyDescent="0.3">
      <c r="A55">
        <v>0</v>
      </c>
      <c r="B55" t="str">
        <f>IF(Table1[[#This Row],[Glucose]]&lt;100,"Normal",IF(Table1[[#This Row],[Glucose]]&lt;126,"Prediabetes","High Risk"))</f>
        <v>Prediabetes</v>
      </c>
      <c r="C55">
        <v>105</v>
      </c>
      <c r="D55">
        <v>68</v>
      </c>
      <c r="E55">
        <v>22</v>
      </c>
      <c r="F55">
        <v>0</v>
      </c>
      <c r="G55" t="str">
        <f>IF(Table1[[#This Row],[BMI]]&lt;18.5,"Underweight",IF(Table1[[#This Row],[BMI]]&lt;25,"Normal",IF(Table1[[#This Row],[BMI]]&lt;30,"Overweight","Obese")))</f>
        <v>Normal</v>
      </c>
      <c r="H55">
        <v>20</v>
      </c>
      <c r="I55">
        <v>0.23599999999999999</v>
      </c>
      <c r="J55" t="str">
        <f>IF(Table1[[#This Row],[Age]]&lt;30,"Young (&lt;30)",IF(Table1[[#This Row],[Age]]&lt;=50,"Middle Age (30-50)","Older (&gt;50)"))</f>
        <v>Young (&lt;30)</v>
      </c>
      <c r="K55">
        <v>22</v>
      </c>
      <c r="L55">
        <v>0</v>
      </c>
    </row>
    <row r="56" spans="1:12" x14ac:dyDescent="0.3">
      <c r="A56">
        <v>0</v>
      </c>
      <c r="B56" t="str">
        <f>IF(Table1[[#This Row],[Glucose]]&lt;100,"Normal",IF(Table1[[#This Row],[Glucose]]&lt;126,"Prediabetes","High Risk"))</f>
        <v>High Risk</v>
      </c>
      <c r="C56">
        <v>131</v>
      </c>
      <c r="D56">
        <v>66</v>
      </c>
      <c r="E56">
        <v>40</v>
      </c>
      <c r="F56">
        <v>0</v>
      </c>
      <c r="G56" t="str">
        <f>IF(Table1[[#This Row],[BMI]]&lt;18.5,"Underweight",IF(Table1[[#This Row],[BMI]]&lt;25,"Normal",IF(Table1[[#This Row],[BMI]]&lt;30,"Overweight","Obese")))</f>
        <v>Obese</v>
      </c>
      <c r="H56">
        <v>34.299999999999997</v>
      </c>
      <c r="I56">
        <v>0.19600000000000001</v>
      </c>
      <c r="J56" t="str">
        <f>IF(Table1[[#This Row],[Age]]&lt;30,"Young (&lt;30)",IF(Table1[[#This Row],[Age]]&lt;=50,"Middle Age (30-50)","Older (&gt;50)"))</f>
        <v>Young (&lt;30)</v>
      </c>
      <c r="K56">
        <v>22</v>
      </c>
      <c r="L56">
        <v>1</v>
      </c>
    </row>
    <row r="57" spans="1:12" x14ac:dyDescent="0.3">
      <c r="A57">
        <v>0</v>
      </c>
      <c r="B57" t="str">
        <f>IF(Table1[[#This Row],[Glucose]]&lt;100,"Normal",IF(Table1[[#This Row],[Glucose]]&lt;126,"Prediabetes","High Risk"))</f>
        <v>Prediabetes</v>
      </c>
      <c r="C57">
        <v>101</v>
      </c>
      <c r="D57">
        <v>62</v>
      </c>
      <c r="E57">
        <v>0</v>
      </c>
      <c r="F57">
        <v>0</v>
      </c>
      <c r="G57" t="str">
        <f>IF(Table1[[#This Row],[BMI]]&lt;18.5,"Underweight",IF(Table1[[#This Row],[BMI]]&lt;25,"Normal",IF(Table1[[#This Row],[BMI]]&lt;30,"Overweight","Obese")))</f>
        <v>Normal</v>
      </c>
      <c r="H57">
        <v>21.9</v>
      </c>
      <c r="I57">
        <v>0.33600000000000002</v>
      </c>
      <c r="J57" t="str">
        <f>IF(Table1[[#This Row],[Age]]&lt;30,"Young (&lt;30)",IF(Table1[[#This Row],[Age]]&lt;=50,"Middle Age (30-50)","Older (&gt;50)"))</f>
        <v>Young (&lt;30)</v>
      </c>
      <c r="K57">
        <v>25</v>
      </c>
      <c r="L57">
        <v>0</v>
      </c>
    </row>
    <row r="58" spans="1:12" x14ac:dyDescent="0.3">
      <c r="A58">
        <v>0</v>
      </c>
      <c r="B58" t="str">
        <f>IF(Table1[[#This Row],[Glucose]]&lt;100,"Normal",IF(Table1[[#This Row],[Glucose]]&lt;126,"Prediabetes","High Risk"))</f>
        <v>High Risk</v>
      </c>
      <c r="C58">
        <v>138</v>
      </c>
      <c r="D58">
        <v>60</v>
      </c>
      <c r="E58">
        <v>35</v>
      </c>
      <c r="F58">
        <v>167</v>
      </c>
      <c r="G58" t="str">
        <f>IF(Table1[[#This Row],[BMI]]&lt;18.5,"Underweight",IF(Table1[[#This Row],[BMI]]&lt;25,"Normal",IF(Table1[[#This Row],[BMI]]&lt;30,"Overweight","Obese")))</f>
        <v>Obese</v>
      </c>
      <c r="H58">
        <v>34.6</v>
      </c>
      <c r="I58">
        <v>0.53400000000000003</v>
      </c>
      <c r="J58" t="str">
        <f>IF(Table1[[#This Row],[Age]]&lt;30,"Young (&lt;30)",IF(Table1[[#This Row],[Age]]&lt;=50,"Middle Age (30-50)","Older (&gt;50)"))</f>
        <v>Young (&lt;30)</v>
      </c>
      <c r="K58">
        <v>21</v>
      </c>
      <c r="L58">
        <v>1</v>
      </c>
    </row>
    <row r="59" spans="1:12" x14ac:dyDescent="0.3">
      <c r="A59">
        <v>0</v>
      </c>
      <c r="B59" t="str">
        <f>IF(Table1[[#This Row],[Glucose]]&lt;100,"Normal",IF(Table1[[#This Row],[Glucose]]&lt;126,"Prediabetes","High Risk"))</f>
        <v>Prediabetes</v>
      </c>
      <c r="C59">
        <v>102</v>
      </c>
      <c r="D59">
        <v>64</v>
      </c>
      <c r="E59">
        <v>46</v>
      </c>
      <c r="F59">
        <v>78</v>
      </c>
      <c r="G59" t="str">
        <f>IF(Table1[[#This Row],[BMI]]&lt;18.5,"Underweight",IF(Table1[[#This Row],[BMI]]&lt;25,"Normal",IF(Table1[[#This Row],[BMI]]&lt;30,"Overweight","Obese")))</f>
        <v>Obese</v>
      </c>
      <c r="H59">
        <v>40.6</v>
      </c>
      <c r="I59">
        <v>0.496</v>
      </c>
      <c r="J59" t="str">
        <f>IF(Table1[[#This Row],[Age]]&lt;30,"Young (&lt;30)",IF(Table1[[#This Row],[Age]]&lt;=50,"Middle Age (30-50)","Older (&gt;50)"))</f>
        <v>Young (&lt;30)</v>
      </c>
      <c r="K59">
        <v>21</v>
      </c>
      <c r="L59">
        <v>0</v>
      </c>
    </row>
    <row r="60" spans="1:12" x14ac:dyDescent="0.3">
      <c r="A60">
        <v>0</v>
      </c>
      <c r="B60" t="str">
        <f>IF(Table1[[#This Row],[Glucose]]&lt;100,"Normal",IF(Table1[[#This Row],[Glucose]]&lt;126,"Prediabetes","High Risk"))</f>
        <v>Normal</v>
      </c>
      <c r="C60">
        <v>94</v>
      </c>
      <c r="D60">
        <v>0</v>
      </c>
      <c r="E60">
        <v>0</v>
      </c>
      <c r="F60">
        <v>0</v>
      </c>
      <c r="G60" t="str">
        <f>IF(Table1[[#This Row],[BMI]]&lt;18.5,"Underweight",IF(Table1[[#This Row],[BMI]]&lt;25,"Normal",IF(Table1[[#This Row],[BMI]]&lt;30,"Overweight","Obese")))</f>
        <v>Underweight</v>
      </c>
      <c r="H60">
        <v>0</v>
      </c>
      <c r="I60">
        <v>0.25600000000000001</v>
      </c>
      <c r="J60" t="str">
        <f>IF(Table1[[#This Row],[Age]]&lt;30,"Young (&lt;30)",IF(Table1[[#This Row],[Age]]&lt;=50,"Middle Age (30-50)","Older (&gt;50)"))</f>
        <v>Young (&lt;30)</v>
      </c>
      <c r="K60">
        <v>25</v>
      </c>
      <c r="L60">
        <v>0</v>
      </c>
    </row>
    <row r="61" spans="1:12" x14ac:dyDescent="0.3">
      <c r="A61">
        <v>0</v>
      </c>
      <c r="B61" t="str">
        <f>IF(Table1[[#This Row],[Glucose]]&lt;100,"Normal",IF(Table1[[#This Row],[Glucose]]&lt;126,"Prediabetes","High Risk"))</f>
        <v>High Risk</v>
      </c>
      <c r="C61">
        <v>135</v>
      </c>
      <c r="D61">
        <v>94</v>
      </c>
      <c r="E61">
        <v>46</v>
      </c>
      <c r="F61">
        <v>145</v>
      </c>
      <c r="G61" t="str">
        <f>IF(Table1[[#This Row],[BMI]]&lt;18.5,"Underweight",IF(Table1[[#This Row],[BMI]]&lt;25,"Normal",IF(Table1[[#This Row],[BMI]]&lt;30,"Overweight","Obese")))</f>
        <v>Obese</v>
      </c>
      <c r="H61">
        <v>40.6</v>
      </c>
      <c r="I61">
        <v>0.28399999999999997</v>
      </c>
      <c r="J61" t="str">
        <f>IF(Table1[[#This Row],[Age]]&lt;30,"Young (&lt;30)",IF(Table1[[#This Row],[Age]]&lt;=50,"Middle Age (30-50)","Older (&gt;50)"))</f>
        <v>Young (&lt;30)</v>
      </c>
      <c r="K61">
        <v>26</v>
      </c>
      <c r="L61">
        <v>0</v>
      </c>
    </row>
    <row r="62" spans="1:12" x14ac:dyDescent="0.3">
      <c r="A62">
        <v>0</v>
      </c>
      <c r="B62" t="str">
        <f>IF(Table1[[#This Row],[Glucose]]&lt;100,"Normal",IF(Table1[[#This Row],[Glucose]]&lt;126,"Prediabetes","High Risk"))</f>
        <v>High Risk</v>
      </c>
      <c r="C62">
        <v>141</v>
      </c>
      <c r="D62">
        <v>0</v>
      </c>
      <c r="E62">
        <v>0</v>
      </c>
      <c r="F62">
        <v>0</v>
      </c>
      <c r="G62" t="str">
        <f>IF(Table1[[#This Row],[BMI]]&lt;18.5,"Underweight",IF(Table1[[#This Row],[BMI]]&lt;25,"Normal",IF(Table1[[#This Row],[BMI]]&lt;30,"Overweight","Obese")))</f>
        <v>Obese</v>
      </c>
      <c r="H62">
        <v>42.4</v>
      </c>
      <c r="I62">
        <v>0.20499999999999999</v>
      </c>
      <c r="J62" t="str">
        <f>IF(Table1[[#This Row],[Age]]&lt;30,"Young (&lt;30)",IF(Table1[[#This Row],[Age]]&lt;=50,"Middle Age (30-50)","Older (&gt;50)"))</f>
        <v>Young (&lt;30)</v>
      </c>
      <c r="K62">
        <v>29</v>
      </c>
      <c r="L62">
        <v>1</v>
      </c>
    </row>
    <row r="63" spans="1:12" x14ac:dyDescent="0.3">
      <c r="A63">
        <v>0</v>
      </c>
      <c r="B63" t="str">
        <f>IF(Table1[[#This Row],[Glucose]]&lt;100,"Normal",IF(Table1[[#This Row],[Glucose]]&lt;126,"Prediabetes","High Risk"))</f>
        <v>High Risk</v>
      </c>
      <c r="C63">
        <v>189</v>
      </c>
      <c r="D63">
        <v>104</v>
      </c>
      <c r="E63">
        <v>25</v>
      </c>
      <c r="F63">
        <v>0</v>
      </c>
      <c r="G63" t="str">
        <f>IF(Table1[[#This Row],[BMI]]&lt;18.5,"Underweight",IF(Table1[[#This Row],[BMI]]&lt;25,"Normal",IF(Table1[[#This Row],[BMI]]&lt;30,"Overweight","Obese")))</f>
        <v>Obese</v>
      </c>
      <c r="H63">
        <v>34.299999999999997</v>
      </c>
      <c r="I63">
        <v>0.435</v>
      </c>
      <c r="J63" t="str">
        <f>IF(Table1[[#This Row],[Age]]&lt;30,"Young (&lt;30)",IF(Table1[[#This Row],[Age]]&lt;=50,"Middle Age (30-50)","Older (&gt;50)"))</f>
        <v>Middle Age (30-50)</v>
      </c>
      <c r="K63">
        <v>41</v>
      </c>
      <c r="L63">
        <v>1</v>
      </c>
    </row>
    <row r="64" spans="1:12" x14ac:dyDescent="0.3">
      <c r="A64">
        <v>0</v>
      </c>
      <c r="B64" t="str">
        <f>IF(Table1[[#This Row],[Glucose]]&lt;100,"Normal",IF(Table1[[#This Row],[Glucose]]&lt;126,"Prediabetes","High Risk"))</f>
        <v>High Risk</v>
      </c>
      <c r="C64">
        <v>180</v>
      </c>
      <c r="D64">
        <v>78</v>
      </c>
      <c r="E64">
        <v>63</v>
      </c>
      <c r="F64">
        <v>14</v>
      </c>
      <c r="G64" t="str">
        <f>IF(Table1[[#This Row],[BMI]]&lt;18.5,"Underweight",IF(Table1[[#This Row],[BMI]]&lt;25,"Normal",IF(Table1[[#This Row],[BMI]]&lt;30,"Overweight","Obese")))</f>
        <v>Obese</v>
      </c>
      <c r="H64">
        <v>59.4</v>
      </c>
      <c r="I64">
        <v>2.42</v>
      </c>
      <c r="J64" t="str">
        <f>IF(Table1[[#This Row],[Age]]&lt;30,"Young (&lt;30)",IF(Table1[[#This Row],[Age]]&lt;=50,"Middle Age (30-50)","Older (&gt;50)"))</f>
        <v>Young (&lt;30)</v>
      </c>
      <c r="K64">
        <v>25</v>
      </c>
      <c r="L64">
        <v>1</v>
      </c>
    </row>
    <row r="65" spans="1:12" x14ac:dyDescent="0.3">
      <c r="A65">
        <v>0</v>
      </c>
      <c r="B65" t="str">
        <f>IF(Table1[[#This Row],[Glucose]]&lt;100,"Normal",IF(Table1[[#This Row],[Glucose]]&lt;126,"Prediabetes","High Risk"))</f>
        <v>Normal</v>
      </c>
      <c r="C65">
        <v>95</v>
      </c>
      <c r="D65">
        <v>80</v>
      </c>
      <c r="E65">
        <v>45</v>
      </c>
      <c r="F65">
        <v>92</v>
      </c>
      <c r="G65" t="str">
        <f>IF(Table1[[#This Row],[BMI]]&lt;18.5,"Underweight",IF(Table1[[#This Row],[BMI]]&lt;25,"Normal",IF(Table1[[#This Row],[BMI]]&lt;30,"Overweight","Obese")))</f>
        <v>Obese</v>
      </c>
      <c r="H65">
        <v>36.5</v>
      </c>
      <c r="I65">
        <v>0.33</v>
      </c>
      <c r="J65" t="str">
        <f>IF(Table1[[#This Row],[Age]]&lt;30,"Young (&lt;30)",IF(Table1[[#This Row],[Age]]&lt;=50,"Middle Age (30-50)","Older (&gt;50)"))</f>
        <v>Young (&lt;30)</v>
      </c>
      <c r="K65">
        <v>26</v>
      </c>
      <c r="L65">
        <v>0</v>
      </c>
    </row>
    <row r="66" spans="1:12" x14ac:dyDescent="0.3">
      <c r="A66">
        <v>0</v>
      </c>
      <c r="B66" t="str">
        <f>IF(Table1[[#This Row],[Glucose]]&lt;100,"Normal",IF(Table1[[#This Row],[Glucose]]&lt;126,"Prediabetes","High Risk"))</f>
        <v>Prediabetes</v>
      </c>
      <c r="C66">
        <v>104</v>
      </c>
      <c r="D66">
        <v>64</v>
      </c>
      <c r="E66">
        <v>37</v>
      </c>
      <c r="F66">
        <v>64</v>
      </c>
      <c r="G66" t="str">
        <f>IF(Table1[[#This Row],[BMI]]&lt;18.5,"Underweight",IF(Table1[[#This Row],[BMI]]&lt;25,"Normal",IF(Table1[[#This Row],[BMI]]&lt;30,"Overweight","Obese")))</f>
        <v>Obese</v>
      </c>
      <c r="H66">
        <v>33.6</v>
      </c>
      <c r="I66">
        <v>0.51</v>
      </c>
      <c r="J66" t="str">
        <f>IF(Table1[[#This Row],[Age]]&lt;30,"Young (&lt;30)",IF(Table1[[#This Row],[Age]]&lt;=50,"Middle Age (30-50)","Older (&gt;50)"))</f>
        <v>Young (&lt;30)</v>
      </c>
      <c r="K66">
        <v>22</v>
      </c>
      <c r="L66">
        <v>1</v>
      </c>
    </row>
    <row r="67" spans="1:12" x14ac:dyDescent="0.3">
      <c r="A67">
        <v>0</v>
      </c>
      <c r="B67" t="str">
        <f>IF(Table1[[#This Row],[Glucose]]&lt;100,"Normal",IF(Table1[[#This Row],[Glucose]]&lt;126,"Prediabetes","High Risk"))</f>
        <v>Prediabetes</v>
      </c>
      <c r="C67">
        <v>120</v>
      </c>
      <c r="D67">
        <v>74</v>
      </c>
      <c r="E67">
        <v>18</v>
      </c>
      <c r="F67">
        <v>63</v>
      </c>
      <c r="G67" t="str">
        <f>IF(Table1[[#This Row],[BMI]]&lt;18.5,"Underweight",IF(Table1[[#This Row],[BMI]]&lt;25,"Normal",IF(Table1[[#This Row],[BMI]]&lt;30,"Overweight","Obese")))</f>
        <v>Obese</v>
      </c>
      <c r="H67">
        <v>30.5</v>
      </c>
      <c r="I67">
        <v>0.28499999999999998</v>
      </c>
      <c r="J67" t="str">
        <f>IF(Table1[[#This Row],[Age]]&lt;30,"Young (&lt;30)",IF(Table1[[#This Row],[Age]]&lt;=50,"Middle Age (30-50)","Older (&gt;50)"))</f>
        <v>Young (&lt;30)</v>
      </c>
      <c r="K67">
        <v>26</v>
      </c>
      <c r="L67">
        <v>0</v>
      </c>
    </row>
    <row r="68" spans="1:12" x14ac:dyDescent="0.3">
      <c r="A68">
        <v>0</v>
      </c>
      <c r="B68" t="str">
        <f>IF(Table1[[#This Row],[Glucose]]&lt;100,"Normal",IF(Table1[[#This Row],[Glucose]]&lt;126,"Prediabetes","High Risk"))</f>
        <v>Normal</v>
      </c>
      <c r="C68">
        <v>91</v>
      </c>
      <c r="D68">
        <v>68</v>
      </c>
      <c r="E68">
        <v>32</v>
      </c>
      <c r="F68">
        <v>210</v>
      </c>
      <c r="G68" t="str">
        <f>IF(Table1[[#This Row],[BMI]]&lt;18.5,"Underweight",IF(Table1[[#This Row],[BMI]]&lt;25,"Normal",IF(Table1[[#This Row],[BMI]]&lt;30,"Overweight","Obese")))</f>
        <v>Obese</v>
      </c>
      <c r="H68">
        <v>39.9</v>
      </c>
      <c r="I68">
        <v>0.38100000000000001</v>
      </c>
      <c r="J68" t="str">
        <f>IF(Table1[[#This Row],[Age]]&lt;30,"Young (&lt;30)",IF(Table1[[#This Row],[Age]]&lt;=50,"Middle Age (30-50)","Older (&gt;50)"))</f>
        <v>Young (&lt;30)</v>
      </c>
      <c r="K68">
        <v>25</v>
      </c>
      <c r="L68">
        <v>0</v>
      </c>
    </row>
    <row r="69" spans="1:12" x14ac:dyDescent="0.3">
      <c r="A69">
        <v>0</v>
      </c>
      <c r="B69" t="str">
        <f>IF(Table1[[#This Row],[Glucose]]&lt;100,"Normal",IF(Table1[[#This Row],[Glucose]]&lt;126,"Prediabetes","High Risk"))</f>
        <v>Prediabetes</v>
      </c>
      <c r="C69">
        <v>124</v>
      </c>
      <c r="D69">
        <v>56</v>
      </c>
      <c r="E69">
        <v>13</v>
      </c>
      <c r="F69">
        <v>105</v>
      </c>
      <c r="G69" t="str">
        <f>IF(Table1[[#This Row],[BMI]]&lt;18.5,"Underweight",IF(Table1[[#This Row],[BMI]]&lt;25,"Normal",IF(Table1[[#This Row],[BMI]]&lt;30,"Overweight","Obese")))</f>
        <v>Normal</v>
      </c>
      <c r="H69">
        <v>21.8</v>
      </c>
      <c r="I69">
        <v>0.45200000000000001</v>
      </c>
      <c r="J69" t="str">
        <f>IF(Table1[[#This Row],[Age]]&lt;30,"Young (&lt;30)",IF(Table1[[#This Row],[Age]]&lt;=50,"Middle Age (30-50)","Older (&gt;50)"))</f>
        <v>Young (&lt;30)</v>
      </c>
      <c r="K69">
        <v>21</v>
      </c>
      <c r="L69">
        <v>0</v>
      </c>
    </row>
    <row r="70" spans="1:12" x14ac:dyDescent="0.3">
      <c r="A70">
        <v>0</v>
      </c>
      <c r="B70" t="str">
        <f>IF(Table1[[#This Row],[Glucose]]&lt;100,"Normal",IF(Table1[[#This Row],[Glucose]]&lt;126,"Prediabetes","High Risk"))</f>
        <v>Normal</v>
      </c>
      <c r="C70">
        <v>74</v>
      </c>
      <c r="D70">
        <v>52</v>
      </c>
      <c r="E70">
        <v>10</v>
      </c>
      <c r="F70">
        <v>36</v>
      </c>
      <c r="G70" t="str">
        <f>IF(Table1[[#This Row],[BMI]]&lt;18.5,"Underweight",IF(Table1[[#This Row],[BMI]]&lt;25,"Normal",IF(Table1[[#This Row],[BMI]]&lt;30,"Overweight","Obese")))</f>
        <v>Overweight</v>
      </c>
      <c r="H70">
        <v>27.8</v>
      </c>
      <c r="I70">
        <v>0.26900000000000002</v>
      </c>
      <c r="J70" t="str">
        <f>IF(Table1[[#This Row],[Age]]&lt;30,"Young (&lt;30)",IF(Table1[[#This Row],[Age]]&lt;=50,"Middle Age (30-50)","Older (&gt;50)"))</f>
        <v>Young (&lt;30)</v>
      </c>
      <c r="K70">
        <v>22</v>
      </c>
      <c r="L70">
        <v>0</v>
      </c>
    </row>
    <row r="71" spans="1:12" x14ac:dyDescent="0.3">
      <c r="A71">
        <v>0</v>
      </c>
      <c r="B71" t="str">
        <f>IF(Table1[[#This Row],[Glucose]]&lt;100,"Normal",IF(Table1[[#This Row],[Glucose]]&lt;126,"Prediabetes","High Risk"))</f>
        <v>Normal</v>
      </c>
      <c r="C71">
        <v>97</v>
      </c>
      <c r="D71">
        <v>64</v>
      </c>
      <c r="E71">
        <v>36</v>
      </c>
      <c r="F71">
        <v>100</v>
      </c>
      <c r="G71" t="str">
        <f>IF(Table1[[#This Row],[BMI]]&lt;18.5,"Underweight",IF(Table1[[#This Row],[BMI]]&lt;25,"Normal",IF(Table1[[#This Row],[BMI]]&lt;30,"Overweight","Obese")))</f>
        <v>Obese</v>
      </c>
      <c r="H71">
        <v>36.799999999999997</v>
      </c>
      <c r="I71">
        <v>0.6</v>
      </c>
      <c r="J71" t="str">
        <f>IF(Table1[[#This Row],[Age]]&lt;30,"Young (&lt;30)",IF(Table1[[#This Row],[Age]]&lt;=50,"Middle Age (30-50)","Older (&gt;50)"))</f>
        <v>Young (&lt;30)</v>
      </c>
      <c r="K71">
        <v>25</v>
      </c>
      <c r="L71">
        <v>0</v>
      </c>
    </row>
    <row r="72" spans="1:12" x14ac:dyDescent="0.3">
      <c r="A72">
        <v>0</v>
      </c>
      <c r="B72" t="str">
        <f>IF(Table1[[#This Row],[Glucose]]&lt;100,"Normal",IF(Table1[[#This Row],[Glucose]]&lt;126,"Prediabetes","High Risk"))</f>
        <v>High Risk</v>
      </c>
      <c r="C72">
        <v>137</v>
      </c>
      <c r="D72">
        <v>70</v>
      </c>
      <c r="E72">
        <v>38</v>
      </c>
      <c r="F72">
        <v>0</v>
      </c>
      <c r="G72" t="str">
        <f>IF(Table1[[#This Row],[BMI]]&lt;18.5,"Underweight",IF(Table1[[#This Row],[BMI]]&lt;25,"Normal",IF(Table1[[#This Row],[BMI]]&lt;30,"Overweight","Obese")))</f>
        <v>Obese</v>
      </c>
      <c r="H72">
        <v>33.200000000000003</v>
      </c>
      <c r="I72">
        <v>0.17</v>
      </c>
      <c r="J72" t="str">
        <f>IF(Table1[[#This Row],[Age]]&lt;30,"Young (&lt;30)",IF(Table1[[#This Row],[Age]]&lt;=50,"Middle Age (30-50)","Older (&gt;50)"))</f>
        <v>Young (&lt;30)</v>
      </c>
      <c r="K72">
        <v>22</v>
      </c>
      <c r="L72">
        <v>0</v>
      </c>
    </row>
    <row r="73" spans="1:12" x14ac:dyDescent="0.3">
      <c r="A73">
        <v>0</v>
      </c>
      <c r="B73" t="str">
        <f>IF(Table1[[#This Row],[Glucose]]&lt;100,"Normal",IF(Table1[[#This Row],[Glucose]]&lt;126,"Prediabetes","High Risk"))</f>
        <v>Prediabetes</v>
      </c>
      <c r="C73">
        <v>119</v>
      </c>
      <c r="D73">
        <v>66</v>
      </c>
      <c r="E73">
        <v>27</v>
      </c>
      <c r="F73">
        <v>0</v>
      </c>
      <c r="G73" t="str">
        <f>IF(Table1[[#This Row],[BMI]]&lt;18.5,"Underweight",IF(Table1[[#This Row],[BMI]]&lt;25,"Normal",IF(Table1[[#This Row],[BMI]]&lt;30,"Overweight","Obese")))</f>
        <v>Obese</v>
      </c>
      <c r="H73">
        <v>38.799999999999997</v>
      </c>
      <c r="I73">
        <v>0.25900000000000001</v>
      </c>
      <c r="J73" t="str">
        <f>IF(Table1[[#This Row],[Age]]&lt;30,"Young (&lt;30)",IF(Table1[[#This Row],[Age]]&lt;=50,"Middle Age (30-50)","Older (&gt;50)"))</f>
        <v>Young (&lt;30)</v>
      </c>
      <c r="K73">
        <v>22</v>
      </c>
      <c r="L73">
        <v>0</v>
      </c>
    </row>
    <row r="74" spans="1:12" x14ac:dyDescent="0.3">
      <c r="A74">
        <v>0</v>
      </c>
      <c r="B74" t="str">
        <f>IF(Table1[[#This Row],[Glucose]]&lt;100,"Normal",IF(Table1[[#This Row],[Glucose]]&lt;126,"Prediabetes","High Risk"))</f>
        <v>High Risk</v>
      </c>
      <c r="C74">
        <v>137</v>
      </c>
      <c r="D74">
        <v>84</v>
      </c>
      <c r="E74">
        <v>27</v>
      </c>
      <c r="F74">
        <v>0</v>
      </c>
      <c r="G74" t="str">
        <f>IF(Table1[[#This Row],[BMI]]&lt;18.5,"Underweight",IF(Table1[[#This Row],[BMI]]&lt;25,"Normal",IF(Table1[[#This Row],[BMI]]&lt;30,"Overweight","Obese")))</f>
        <v>Overweight</v>
      </c>
      <c r="H74">
        <v>27.3</v>
      </c>
      <c r="I74">
        <v>0.23100000000000001</v>
      </c>
      <c r="J74" t="str">
        <f>IF(Table1[[#This Row],[Age]]&lt;30,"Young (&lt;30)",IF(Table1[[#This Row],[Age]]&lt;=50,"Middle Age (30-50)","Older (&gt;50)"))</f>
        <v>Older (&gt;50)</v>
      </c>
      <c r="K74">
        <v>59</v>
      </c>
      <c r="L74">
        <v>0</v>
      </c>
    </row>
    <row r="75" spans="1:12" x14ac:dyDescent="0.3">
      <c r="A75">
        <v>0</v>
      </c>
      <c r="B75" t="str">
        <f>IF(Table1[[#This Row],[Glucose]]&lt;100,"Normal",IF(Table1[[#This Row],[Glucose]]&lt;126,"Prediabetes","High Risk"))</f>
        <v>Prediabetes</v>
      </c>
      <c r="C75">
        <v>123</v>
      </c>
      <c r="D75">
        <v>88</v>
      </c>
      <c r="E75">
        <v>37</v>
      </c>
      <c r="F75">
        <v>0</v>
      </c>
      <c r="G75" t="str">
        <f>IF(Table1[[#This Row],[BMI]]&lt;18.5,"Underweight",IF(Table1[[#This Row],[BMI]]&lt;25,"Normal",IF(Table1[[#This Row],[BMI]]&lt;30,"Overweight","Obese")))</f>
        <v>Obese</v>
      </c>
      <c r="H75">
        <v>35.200000000000003</v>
      </c>
      <c r="I75">
        <v>0.19700000000000001</v>
      </c>
      <c r="J75" t="str">
        <f>IF(Table1[[#This Row],[Age]]&lt;30,"Young (&lt;30)",IF(Table1[[#This Row],[Age]]&lt;=50,"Middle Age (30-50)","Older (&gt;50)"))</f>
        <v>Young (&lt;30)</v>
      </c>
      <c r="K75">
        <v>29</v>
      </c>
      <c r="L75">
        <v>0</v>
      </c>
    </row>
    <row r="76" spans="1:12" x14ac:dyDescent="0.3">
      <c r="A76">
        <v>0</v>
      </c>
      <c r="B76" t="str">
        <f>IF(Table1[[#This Row],[Glucose]]&lt;100,"Normal",IF(Table1[[#This Row],[Glucose]]&lt;126,"Prediabetes","High Risk"))</f>
        <v>Normal</v>
      </c>
      <c r="C76">
        <v>84</v>
      </c>
      <c r="D76">
        <v>82</v>
      </c>
      <c r="E76">
        <v>31</v>
      </c>
      <c r="F76">
        <v>125</v>
      </c>
      <c r="G76" t="str">
        <f>IF(Table1[[#This Row],[BMI]]&lt;18.5,"Underweight",IF(Table1[[#This Row],[BMI]]&lt;25,"Normal",IF(Table1[[#This Row],[BMI]]&lt;30,"Overweight","Obese")))</f>
        <v>Obese</v>
      </c>
      <c r="H76">
        <v>38.200000000000003</v>
      </c>
      <c r="I76">
        <v>0.23300000000000001</v>
      </c>
      <c r="J76" t="str">
        <f>IF(Table1[[#This Row],[Age]]&lt;30,"Young (&lt;30)",IF(Table1[[#This Row],[Age]]&lt;=50,"Middle Age (30-50)","Older (&gt;50)"))</f>
        <v>Young (&lt;30)</v>
      </c>
      <c r="K76">
        <v>23</v>
      </c>
      <c r="L76">
        <v>0</v>
      </c>
    </row>
    <row r="77" spans="1:12" x14ac:dyDescent="0.3">
      <c r="A77">
        <v>0</v>
      </c>
      <c r="B77" t="str">
        <f>IF(Table1[[#This Row],[Glucose]]&lt;100,"Normal",IF(Table1[[#This Row],[Glucose]]&lt;126,"Prediabetes","High Risk"))</f>
        <v>High Risk</v>
      </c>
      <c r="C77">
        <v>145</v>
      </c>
      <c r="D77">
        <v>0</v>
      </c>
      <c r="E77">
        <v>0</v>
      </c>
      <c r="F77">
        <v>0</v>
      </c>
      <c r="G77" t="str">
        <f>IF(Table1[[#This Row],[BMI]]&lt;18.5,"Underweight",IF(Table1[[#This Row],[BMI]]&lt;25,"Normal",IF(Table1[[#This Row],[BMI]]&lt;30,"Overweight","Obese")))</f>
        <v>Obese</v>
      </c>
      <c r="H77">
        <v>44.2</v>
      </c>
      <c r="I77">
        <v>0.63</v>
      </c>
      <c r="J77" t="str">
        <f>IF(Table1[[#This Row],[Age]]&lt;30,"Young (&lt;30)",IF(Table1[[#This Row],[Age]]&lt;=50,"Middle Age (30-50)","Older (&gt;50)"))</f>
        <v>Middle Age (30-50)</v>
      </c>
      <c r="K77">
        <v>31</v>
      </c>
      <c r="L77">
        <v>1</v>
      </c>
    </row>
    <row r="78" spans="1:12" x14ac:dyDescent="0.3">
      <c r="A78">
        <v>0</v>
      </c>
      <c r="B78" t="str">
        <f>IF(Table1[[#This Row],[Glucose]]&lt;100,"Normal",IF(Table1[[#This Row],[Glucose]]&lt;126,"Prediabetes","High Risk"))</f>
        <v>High Risk</v>
      </c>
      <c r="C78">
        <v>135</v>
      </c>
      <c r="D78">
        <v>68</v>
      </c>
      <c r="E78">
        <v>42</v>
      </c>
      <c r="F78">
        <v>250</v>
      </c>
      <c r="G78" t="str">
        <f>IF(Table1[[#This Row],[BMI]]&lt;18.5,"Underweight",IF(Table1[[#This Row],[BMI]]&lt;25,"Normal",IF(Table1[[#This Row],[BMI]]&lt;30,"Overweight","Obese")))</f>
        <v>Obese</v>
      </c>
      <c r="H78">
        <v>42.3</v>
      </c>
      <c r="I78">
        <v>0.36499999999999999</v>
      </c>
      <c r="J78" t="str">
        <f>IF(Table1[[#This Row],[Age]]&lt;30,"Young (&lt;30)",IF(Table1[[#This Row],[Age]]&lt;=50,"Middle Age (30-50)","Older (&gt;50)"))</f>
        <v>Young (&lt;30)</v>
      </c>
      <c r="K78">
        <v>24</v>
      </c>
      <c r="L78">
        <v>1</v>
      </c>
    </row>
    <row r="79" spans="1:12" x14ac:dyDescent="0.3">
      <c r="A79">
        <v>0</v>
      </c>
      <c r="B79" t="str">
        <f>IF(Table1[[#This Row],[Glucose]]&lt;100,"Normal",IF(Table1[[#This Row],[Glucose]]&lt;126,"Prediabetes","High Risk"))</f>
        <v>High Risk</v>
      </c>
      <c r="C79">
        <v>173</v>
      </c>
      <c r="D79">
        <v>78</v>
      </c>
      <c r="E79">
        <v>32</v>
      </c>
      <c r="F79">
        <v>265</v>
      </c>
      <c r="G79" t="str">
        <f>IF(Table1[[#This Row],[BMI]]&lt;18.5,"Underweight",IF(Table1[[#This Row],[BMI]]&lt;25,"Normal",IF(Table1[[#This Row],[BMI]]&lt;30,"Overweight","Obese")))</f>
        <v>Obese</v>
      </c>
      <c r="H79">
        <v>46.5</v>
      </c>
      <c r="I79">
        <v>1.159</v>
      </c>
      <c r="J79" t="str">
        <f>IF(Table1[[#This Row],[Age]]&lt;30,"Young (&lt;30)",IF(Table1[[#This Row],[Age]]&lt;=50,"Middle Age (30-50)","Older (&gt;50)"))</f>
        <v>Older (&gt;50)</v>
      </c>
      <c r="K79">
        <v>58</v>
      </c>
      <c r="L79">
        <v>0</v>
      </c>
    </row>
    <row r="80" spans="1:12" x14ac:dyDescent="0.3">
      <c r="A80">
        <v>0</v>
      </c>
      <c r="B80" t="str">
        <f>IF(Table1[[#This Row],[Glucose]]&lt;100,"Normal",IF(Table1[[#This Row],[Glucose]]&lt;126,"Prediabetes","High Risk"))</f>
        <v>High Risk</v>
      </c>
      <c r="C80">
        <v>180</v>
      </c>
      <c r="D80">
        <v>90</v>
      </c>
      <c r="E80">
        <v>26</v>
      </c>
      <c r="F80">
        <v>90</v>
      </c>
      <c r="G80" t="str">
        <f>IF(Table1[[#This Row],[BMI]]&lt;18.5,"Underweight",IF(Table1[[#This Row],[BMI]]&lt;25,"Normal",IF(Table1[[#This Row],[BMI]]&lt;30,"Overweight","Obese")))</f>
        <v>Obese</v>
      </c>
      <c r="H80">
        <v>36.5</v>
      </c>
      <c r="I80">
        <v>0.314</v>
      </c>
      <c r="J80" t="str">
        <f>IF(Table1[[#This Row],[Age]]&lt;30,"Young (&lt;30)",IF(Table1[[#This Row],[Age]]&lt;=50,"Middle Age (30-50)","Older (&gt;50)"))</f>
        <v>Middle Age (30-50)</v>
      </c>
      <c r="K80">
        <v>35</v>
      </c>
      <c r="L80">
        <v>1</v>
      </c>
    </row>
    <row r="81" spans="1:12" x14ac:dyDescent="0.3">
      <c r="A81">
        <v>0</v>
      </c>
      <c r="B81" t="str">
        <f>IF(Table1[[#This Row],[Glucose]]&lt;100,"Normal",IF(Table1[[#This Row],[Glucose]]&lt;126,"Prediabetes","High Risk"))</f>
        <v>High Risk</v>
      </c>
      <c r="C81">
        <v>139</v>
      </c>
      <c r="D81">
        <v>62</v>
      </c>
      <c r="E81">
        <v>17</v>
      </c>
      <c r="F81">
        <v>210</v>
      </c>
      <c r="G81" t="str">
        <f>IF(Table1[[#This Row],[BMI]]&lt;18.5,"Underweight",IF(Table1[[#This Row],[BMI]]&lt;25,"Normal",IF(Table1[[#This Row],[BMI]]&lt;30,"Overweight","Obese")))</f>
        <v>Normal</v>
      </c>
      <c r="H81">
        <v>22.1</v>
      </c>
      <c r="I81">
        <v>0.20699999999999999</v>
      </c>
      <c r="J81" t="str">
        <f>IF(Table1[[#This Row],[Age]]&lt;30,"Young (&lt;30)",IF(Table1[[#This Row],[Age]]&lt;=50,"Middle Age (30-50)","Older (&gt;50)"))</f>
        <v>Young (&lt;30)</v>
      </c>
      <c r="K81">
        <v>21</v>
      </c>
      <c r="L81">
        <v>0</v>
      </c>
    </row>
    <row r="82" spans="1:12" x14ac:dyDescent="0.3">
      <c r="A82">
        <v>0</v>
      </c>
      <c r="B82" t="str">
        <f>IF(Table1[[#This Row],[Glucose]]&lt;100,"Normal",IF(Table1[[#This Row],[Glucose]]&lt;126,"Prediabetes","High Risk"))</f>
        <v>Prediabetes</v>
      </c>
      <c r="C82">
        <v>117</v>
      </c>
      <c r="D82">
        <v>66</v>
      </c>
      <c r="E82">
        <v>31</v>
      </c>
      <c r="F82">
        <v>188</v>
      </c>
      <c r="G82" t="str">
        <f>IF(Table1[[#This Row],[BMI]]&lt;18.5,"Underweight",IF(Table1[[#This Row],[BMI]]&lt;25,"Normal",IF(Table1[[#This Row],[BMI]]&lt;30,"Overweight","Obese")))</f>
        <v>Obese</v>
      </c>
      <c r="H82">
        <v>30.8</v>
      </c>
      <c r="I82">
        <v>0.49299999999999999</v>
      </c>
      <c r="J82" t="str">
        <f>IF(Table1[[#This Row],[Age]]&lt;30,"Young (&lt;30)",IF(Table1[[#This Row],[Age]]&lt;=50,"Middle Age (30-50)","Older (&gt;50)"))</f>
        <v>Young (&lt;30)</v>
      </c>
      <c r="K82">
        <v>22</v>
      </c>
      <c r="L82">
        <v>0</v>
      </c>
    </row>
    <row r="83" spans="1:12" x14ac:dyDescent="0.3">
      <c r="A83">
        <v>0</v>
      </c>
      <c r="B83" t="str">
        <f>IF(Table1[[#This Row],[Glucose]]&lt;100,"Normal",IF(Table1[[#This Row],[Glucose]]&lt;126,"Prediabetes","High Risk"))</f>
        <v>Prediabetes</v>
      </c>
      <c r="C83">
        <v>111</v>
      </c>
      <c r="D83">
        <v>65</v>
      </c>
      <c r="E83">
        <v>0</v>
      </c>
      <c r="F83">
        <v>0</v>
      </c>
      <c r="G83" t="str">
        <f>IF(Table1[[#This Row],[BMI]]&lt;18.5,"Underweight",IF(Table1[[#This Row],[BMI]]&lt;25,"Normal",IF(Table1[[#This Row],[BMI]]&lt;30,"Overweight","Obese")))</f>
        <v>Normal</v>
      </c>
      <c r="H83">
        <v>24.6</v>
      </c>
      <c r="I83">
        <v>0.66</v>
      </c>
      <c r="J83" t="str">
        <f>IF(Table1[[#This Row],[Age]]&lt;30,"Young (&lt;30)",IF(Table1[[#This Row],[Age]]&lt;=50,"Middle Age (30-50)","Older (&gt;50)"))</f>
        <v>Middle Age (30-50)</v>
      </c>
      <c r="K83">
        <v>31</v>
      </c>
      <c r="L83">
        <v>0</v>
      </c>
    </row>
    <row r="84" spans="1:12" x14ac:dyDescent="0.3">
      <c r="A84">
        <v>0</v>
      </c>
      <c r="B84" t="str">
        <f>IF(Table1[[#This Row],[Glucose]]&lt;100,"Normal",IF(Table1[[#This Row],[Glucose]]&lt;126,"Prediabetes","High Risk"))</f>
        <v>Prediabetes</v>
      </c>
      <c r="C84">
        <v>107</v>
      </c>
      <c r="D84">
        <v>76</v>
      </c>
      <c r="E84">
        <v>0</v>
      </c>
      <c r="F84">
        <v>0</v>
      </c>
      <c r="G84" t="str">
        <f>IF(Table1[[#This Row],[BMI]]&lt;18.5,"Underweight",IF(Table1[[#This Row],[BMI]]&lt;25,"Normal",IF(Table1[[#This Row],[BMI]]&lt;30,"Overweight","Obese")))</f>
        <v>Obese</v>
      </c>
      <c r="H84">
        <v>45.3</v>
      </c>
      <c r="I84">
        <v>0.68600000000000005</v>
      </c>
      <c r="J84" t="str">
        <f>IF(Table1[[#This Row],[Age]]&lt;30,"Young (&lt;30)",IF(Table1[[#This Row],[Age]]&lt;=50,"Middle Age (30-50)","Older (&gt;50)"))</f>
        <v>Young (&lt;30)</v>
      </c>
      <c r="K84">
        <v>24</v>
      </c>
      <c r="L84">
        <v>0</v>
      </c>
    </row>
    <row r="85" spans="1:12" x14ac:dyDescent="0.3">
      <c r="A85">
        <v>0</v>
      </c>
      <c r="B85" t="str">
        <f>IF(Table1[[#This Row],[Glucose]]&lt;100,"Normal",IF(Table1[[#This Row],[Glucose]]&lt;126,"Prediabetes","High Risk"))</f>
        <v>Prediabetes</v>
      </c>
      <c r="C85">
        <v>105</v>
      </c>
      <c r="D85">
        <v>90</v>
      </c>
      <c r="E85">
        <v>0</v>
      </c>
      <c r="F85">
        <v>0</v>
      </c>
      <c r="G85" t="str">
        <f>IF(Table1[[#This Row],[BMI]]&lt;18.5,"Underweight",IF(Table1[[#This Row],[BMI]]&lt;25,"Normal",IF(Table1[[#This Row],[BMI]]&lt;30,"Overweight","Obese")))</f>
        <v>Overweight</v>
      </c>
      <c r="H85">
        <v>29.6</v>
      </c>
      <c r="I85">
        <v>0.19700000000000001</v>
      </c>
      <c r="J85" t="str">
        <f>IF(Table1[[#This Row],[Age]]&lt;30,"Young (&lt;30)",IF(Table1[[#This Row],[Age]]&lt;=50,"Middle Age (30-50)","Older (&gt;50)"))</f>
        <v>Middle Age (30-50)</v>
      </c>
      <c r="K85">
        <v>46</v>
      </c>
      <c r="L85">
        <v>0</v>
      </c>
    </row>
    <row r="86" spans="1:12" x14ac:dyDescent="0.3">
      <c r="A86">
        <v>0</v>
      </c>
      <c r="B86" t="str">
        <f>IF(Table1[[#This Row],[Glucose]]&lt;100,"Normal",IF(Table1[[#This Row],[Glucose]]&lt;126,"Prediabetes","High Risk"))</f>
        <v>Normal</v>
      </c>
      <c r="C86">
        <v>57</v>
      </c>
      <c r="D86">
        <v>60</v>
      </c>
      <c r="E86">
        <v>0</v>
      </c>
      <c r="F86">
        <v>0</v>
      </c>
      <c r="G86" t="str">
        <f>IF(Table1[[#This Row],[BMI]]&lt;18.5,"Underweight",IF(Table1[[#This Row],[BMI]]&lt;25,"Normal",IF(Table1[[#This Row],[BMI]]&lt;30,"Overweight","Obese")))</f>
        <v>Normal</v>
      </c>
      <c r="H86">
        <v>21.7</v>
      </c>
      <c r="I86">
        <v>0.73499999999999999</v>
      </c>
      <c r="J86" t="str">
        <f>IF(Table1[[#This Row],[Age]]&lt;30,"Young (&lt;30)",IF(Table1[[#This Row],[Age]]&lt;=50,"Middle Age (30-50)","Older (&gt;50)"))</f>
        <v>Older (&gt;50)</v>
      </c>
      <c r="K86">
        <v>67</v>
      </c>
      <c r="L86">
        <v>0</v>
      </c>
    </row>
    <row r="87" spans="1:12" x14ac:dyDescent="0.3">
      <c r="A87">
        <v>0</v>
      </c>
      <c r="B87" t="str">
        <f>IF(Table1[[#This Row],[Glucose]]&lt;100,"Normal",IF(Table1[[#This Row],[Glucose]]&lt;126,"Prediabetes","High Risk"))</f>
        <v>High Risk</v>
      </c>
      <c r="C87">
        <v>127</v>
      </c>
      <c r="D87">
        <v>80</v>
      </c>
      <c r="E87">
        <v>37</v>
      </c>
      <c r="F87">
        <v>210</v>
      </c>
      <c r="G87" t="str">
        <f>IF(Table1[[#This Row],[BMI]]&lt;18.5,"Underweight",IF(Table1[[#This Row],[BMI]]&lt;25,"Normal",IF(Table1[[#This Row],[BMI]]&lt;30,"Overweight","Obese")))</f>
        <v>Obese</v>
      </c>
      <c r="H87">
        <v>36.299999999999997</v>
      </c>
      <c r="I87">
        <v>0.80400000000000005</v>
      </c>
      <c r="J87" t="str">
        <f>IF(Table1[[#This Row],[Age]]&lt;30,"Young (&lt;30)",IF(Table1[[#This Row],[Age]]&lt;=50,"Middle Age (30-50)","Older (&gt;50)"))</f>
        <v>Young (&lt;30)</v>
      </c>
      <c r="K87">
        <v>23</v>
      </c>
      <c r="L87">
        <v>0</v>
      </c>
    </row>
    <row r="88" spans="1:12" x14ac:dyDescent="0.3">
      <c r="A88">
        <v>0</v>
      </c>
      <c r="B88" t="str">
        <f>IF(Table1[[#This Row],[Glucose]]&lt;100,"Normal",IF(Table1[[#This Row],[Glucose]]&lt;126,"Prediabetes","High Risk"))</f>
        <v>High Risk</v>
      </c>
      <c r="C88">
        <v>198</v>
      </c>
      <c r="D88">
        <v>66</v>
      </c>
      <c r="E88">
        <v>32</v>
      </c>
      <c r="F88">
        <v>274</v>
      </c>
      <c r="G88" t="str">
        <f>IF(Table1[[#This Row],[BMI]]&lt;18.5,"Underweight",IF(Table1[[#This Row],[BMI]]&lt;25,"Normal",IF(Table1[[#This Row],[BMI]]&lt;30,"Overweight","Obese")))</f>
        <v>Obese</v>
      </c>
      <c r="H88">
        <v>41.3</v>
      </c>
      <c r="I88">
        <v>0.502</v>
      </c>
      <c r="J88" t="str">
        <f>IF(Table1[[#This Row],[Age]]&lt;30,"Young (&lt;30)",IF(Table1[[#This Row],[Age]]&lt;=50,"Middle Age (30-50)","Older (&gt;50)"))</f>
        <v>Young (&lt;30)</v>
      </c>
      <c r="K88">
        <v>28</v>
      </c>
      <c r="L88">
        <v>1</v>
      </c>
    </row>
    <row r="89" spans="1:12" x14ac:dyDescent="0.3">
      <c r="A89">
        <v>0</v>
      </c>
      <c r="B89" t="str">
        <f>IF(Table1[[#This Row],[Glucose]]&lt;100,"Normal",IF(Table1[[#This Row],[Glucose]]&lt;126,"Prediabetes","High Risk"))</f>
        <v>Normal</v>
      </c>
      <c r="C89">
        <v>91</v>
      </c>
      <c r="D89">
        <v>80</v>
      </c>
      <c r="E89">
        <v>0</v>
      </c>
      <c r="F89">
        <v>0</v>
      </c>
      <c r="G89" t="str">
        <f>IF(Table1[[#This Row],[BMI]]&lt;18.5,"Underweight",IF(Table1[[#This Row],[BMI]]&lt;25,"Normal",IF(Table1[[#This Row],[BMI]]&lt;30,"Overweight","Obese")))</f>
        <v>Obese</v>
      </c>
      <c r="H89">
        <v>32.4</v>
      </c>
      <c r="I89">
        <v>0.60099999999999998</v>
      </c>
      <c r="J89" t="str">
        <f>IF(Table1[[#This Row],[Age]]&lt;30,"Young (&lt;30)",IF(Table1[[#This Row],[Age]]&lt;=50,"Middle Age (30-50)","Older (&gt;50)"))</f>
        <v>Young (&lt;30)</v>
      </c>
      <c r="K89">
        <v>27</v>
      </c>
      <c r="L89">
        <v>0</v>
      </c>
    </row>
    <row r="90" spans="1:12" x14ac:dyDescent="0.3">
      <c r="A90">
        <v>0</v>
      </c>
      <c r="B90" t="str">
        <f>IF(Table1[[#This Row],[Glucose]]&lt;100,"Normal",IF(Table1[[#This Row],[Glucose]]&lt;126,"Prediabetes","High Risk"))</f>
        <v>Prediabetes</v>
      </c>
      <c r="C90">
        <v>121</v>
      </c>
      <c r="D90">
        <v>66</v>
      </c>
      <c r="E90">
        <v>30</v>
      </c>
      <c r="F90">
        <v>165</v>
      </c>
      <c r="G90" t="str">
        <f>IF(Table1[[#This Row],[BMI]]&lt;18.5,"Underweight",IF(Table1[[#This Row],[BMI]]&lt;25,"Normal",IF(Table1[[#This Row],[BMI]]&lt;30,"Overweight","Obese")))</f>
        <v>Obese</v>
      </c>
      <c r="H90">
        <v>34.299999999999997</v>
      </c>
      <c r="I90">
        <v>0.20300000000000001</v>
      </c>
      <c r="J90" t="str">
        <f>IF(Table1[[#This Row],[Age]]&lt;30,"Young (&lt;30)",IF(Table1[[#This Row],[Age]]&lt;=50,"Middle Age (30-50)","Older (&gt;50)"))</f>
        <v>Middle Age (30-50)</v>
      </c>
      <c r="K90">
        <v>33</v>
      </c>
      <c r="L90">
        <v>1</v>
      </c>
    </row>
    <row r="91" spans="1:12" x14ac:dyDescent="0.3">
      <c r="A91">
        <v>0</v>
      </c>
      <c r="B91" t="str">
        <f>IF(Table1[[#This Row],[Glucose]]&lt;100,"Normal",IF(Table1[[#This Row],[Glucose]]&lt;126,"Prediabetes","High Risk"))</f>
        <v>High Risk</v>
      </c>
      <c r="C91">
        <v>151</v>
      </c>
      <c r="D91">
        <v>90</v>
      </c>
      <c r="E91">
        <v>46</v>
      </c>
      <c r="F91">
        <v>0</v>
      </c>
      <c r="G91" t="str">
        <f>IF(Table1[[#This Row],[BMI]]&lt;18.5,"Underweight",IF(Table1[[#This Row],[BMI]]&lt;25,"Normal",IF(Table1[[#This Row],[BMI]]&lt;30,"Overweight","Obese")))</f>
        <v>Obese</v>
      </c>
      <c r="H91">
        <v>42.1</v>
      </c>
      <c r="I91">
        <v>0.371</v>
      </c>
      <c r="J91" t="str">
        <f>IF(Table1[[#This Row],[Age]]&lt;30,"Young (&lt;30)",IF(Table1[[#This Row],[Age]]&lt;=50,"Middle Age (30-50)","Older (&gt;50)"))</f>
        <v>Young (&lt;30)</v>
      </c>
      <c r="K91">
        <v>21</v>
      </c>
      <c r="L91">
        <v>1</v>
      </c>
    </row>
    <row r="92" spans="1:12" x14ac:dyDescent="0.3">
      <c r="A92">
        <v>0</v>
      </c>
      <c r="B92" t="str">
        <f>IF(Table1[[#This Row],[Glucose]]&lt;100,"Normal",IF(Table1[[#This Row],[Glucose]]&lt;126,"Prediabetes","High Risk"))</f>
        <v>Normal</v>
      </c>
      <c r="C92">
        <v>73</v>
      </c>
      <c r="D92">
        <v>0</v>
      </c>
      <c r="E92">
        <v>0</v>
      </c>
      <c r="F92">
        <v>0</v>
      </c>
      <c r="G92" t="str">
        <f>IF(Table1[[#This Row],[BMI]]&lt;18.5,"Underweight",IF(Table1[[#This Row],[BMI]]&lt;25,"Normal",IF(Table1[[#This Row],[BMI]]&lt;30,"Overweight","Obese")))</f>
        <v>Normal</v>
      </c>
      <c r="H92">
        <v>21.1</v>
      </c>
      <c r="I92">
        <v>0.34200000000000003</v>
      </c>
      <c r="J92" t="str">
        <f>IF(Table1[[#This Row],[Age]]&lt;30,"Young (&lt;30)",IF(Table1[[#This Row],[Age]]&lt;=50,"Middle Age (30-50)","Older (&gt;50)"))</f>
        <v>Young (&lt;30)</v>
      </c>
      <c r="K92">
        <v>25</v>
      </c>
      <c r="L92">
        <v>0</v>
      </c>
    </row>
    <row r="93" spans="1:12" x14ac:dyDescent="0.3">
      <c r="A93">
        <v>0</v>
      </c>
      <c r="B93" t="str">
        <f>IF(Table1[[#This Row],[Glucose]]&lt;100,"Normal",IF(Table1[[#This Row],[Glucose]]&lt;126,"Prediabetes","High Risk"))</f>
        <v>High Risk</v>
      </c>
      <c r="C93">
        <v>188</v>
      </c>
      <c r="D93">
        <v>82</v>
      </c>
      <c r="E93">
        <v>14</v>
      </c>
      <c r="F93">
        <v>185</v>
      </c>
      <c r="G93" t="str">
        <f>IF(Table1[[#This Row],[BMI]]&lt;18.5,"Underweight",IF(Table1[[#This Row],[BMI]]&lt;25,"Normal",IF(Table1[[#This Row],[BMI]]&lt;30,"Overweight","Obese")))</f>
        <v>Obese</v>
      </c>
      <c r="H93">
        <v>32</v>
      </c>
      <c r="I93">
        <v>0.68200000000000005</v>
      </c>
      <c r="J93" t="str">
        <f>IF(Table1[[#This Row],[Age]]&lt;30,"Young (&lt;30)",IF(Table1[[#This Row],[Age]]&lt;=50,"Middle Age (30-50)","Older (&gt;50)"))</f>
        <v>Young (&lt;30)</v>
      </c>
      <c r="K93">
        <v>22</v>
      </c>
      <c r="L93">
        <v>1</v>
      </c>
    </row>
    <row r="94" spans="1:12" x14ac:dyDescent="0.3">
      <c r="A94">
        <v>0</v>
      </c>
      <c r="B94" t="str">
        <f>IF(Table1[[#This Row],[Glucose]]&lt;100,"Normal",IF(Table1[[#This Row],[Glucose]]&lt;126,"Prediabetes","High Risk"))</f>
        <v>Normal</v>
      </c>
      <c r="C94">
        <v>67</v>
      </c>
      <c r="D94">
        <v>76</v>
      </c>
      <c r="E94">
        <v>0</v>
      </c>
      <c r="F94">
        <v>0</v>
      </c>
      <c r="G94" t="str">
        <f>IF(Table1[[#This Row],[BMI]]&lt;18.5,"Underweight",IF(Table1[[#This Row],[BMI]]&lt;25,"Normal",IF(Table1[[#This Row],[BMI]]&lt;30,"Overweight","Obese")))</f>
        <v>Obese</v>
      </c>
      <c r="H94">
        <v>45.3</v>
      </c>
      <c r="I94">
        <v>0.19400000000000001</v>
      </c>
      <c r="J94" t="str">
        <f>IF(Table1[[#This Row],[Age]]&lt;30,"Young (&lt;30)",IF(Table1[[#This Row],[Age]]&lt;=50,"Middle Age (30-50)","Older (&gt;50)"))</f>
        <v>Middle Age (30-50)</v>
      </c>
      <c r="K94">
        <v>46</v>
      </c>
      <c r="L94">
        <v>0</v>
      </c>
    </row>
    <row r="95" spans="1:12" x14ac:dyDescent="0.3">
      <c r="A95">
        <v>0</v>
      </c>
      <c r="B95" t="str">
        <f>IF(Table1[[#This Row],[Glucose]]&lt;100,"Normal",IF(Table1[[#This Row],[Glucose]]&lt;126,"Prediabetes","High Risk"))</f>
        <v>High Risk</v>
      </c>
      <c r="C95">
        <v>152</v>
      </c>
      <c r="D95">
        <v>82</v>
      </c>
      <c r="E95">
        <v>39</v>
      </c>
      <c r="F95">
        <v>272</v>
      </c>
      <c r="G95" t="str">
        <f>IF(Table1[[#This Row],[BMI]]&lt;18.5,"Underweight",IF(Table1[[#This Row],[BMI]]&lt;25,"Normal",IF(Table1[[#This Row],[BMI]]&lt;30,"Overweight","Obese")))</f>
        <v>Obese</v>
      </c>
      <c r="H95">
        <v>41.5</v>
      </c>
      <c r="I95">
        <v>0.27</v>
      </c>
      <c r="J95" t="str">
        <f>IF(Table1[[#This Row],[Age]]&lt;30,"Young (&lt;30)",IF(Table1[[#This Row],[Age]]&lt;=50,"Middle Age (30-50)","Older (&gt;50)"))</f>
        <v>Young (&lt;30)</v>
      </c>
      <c r="K95">
        <v>27</v>
      </c>
      <c r="L95">
        <v>0</v>
      </c>
    </row>
    <row r="96" spans="1:12" x14ac:dyDescent="0.3">
      <c r="A96">
        <v>0</v>
      </c>
      <c r="B96" t="str">
        <f>IF(Table1[[#This Row],[Glucose]]&lt;100,"Normal",IF(Table1[[#This Row],[Glucose]]&lt;126,"Prediabetes","High Risk"))</f>
        <v>Prediabetes</v>
      </c>
      <c r="C96">
        <v>119</v>
      </c>
      <c r="D96">
        <v>0</v>
      </c>
      <c r="E96">
        <v>0</v>
      </c>
      <c r="F96">
        <v>0</v>
      </c>
      <c r="G96" t="str">
        <f>IF(Table1[[#This Row],[BMI]]&lt;18.5,"Underweight",IF(Table1[[#This Row],[BMI]]&lt;25,"Normal",IF(Table1[[#This Row],[BMI]]&lt;30,"Overweight","Obese")))</f>
        <v>Obese</v>
      </c>
      <c r="H96">
        <v>32.4</v>
      </c>
      <c r="I96">
        <v>0.14099999999999999</v>
      </c>
      <c r="J96" t="str">
        <f>IF(Table1[[#This Row],[Age]]&lt;30,"Young (&lt;30)",IF(Table1[[#This Row],[Age]]&lt;=50,"Middle Age (30-50)","Older (&gt;50)"))</f>
        <v>Young (&lt;30)</v>
      </c>
      <c r="K96">
        <v>24</v>
      </c>
      <c r="L96">
        <v>1</v>
      </c>
    </row>
    <row r="97" spans="1:12" x14ac:dyDescent="0.3">
      <c r="A97">
        <v>0</v>
      </c>
      <c r="B97" t="str">
        <f>IF(Table1[[#This Row],[Glucose]]&lt;100,"Normal",IF(Table1[[#This Row],[Glucose]]&lt;126,"Prediabetes","High Risk"))</f>
        <v>Normal</v>
      </c>
      <c r="C97">
        <v>94</v>
      </c>
      <c r="D97">
        <v>70</v>
      </c>
      <c r="E97">
        <v>27</v>
      </c>
      <c r="F97">
        <v>115</v>
      </c>
      <c r="G97" t="str">
        <f>IF(Table1[[#This Row],[BMI]]&lt;18.5,"Underweight",IF(Table1[[#This Row],[BMI]]&lt;25,"Normal",IF(Table1[[#This Row],[BMI]]&lt;30,"Overweight","Obese")))</f>
        <v>Obese</v>
      </c>
      <c r="H97">
        <v>43.5</v>
      </c>
      <c r="I97">
        <v>0.34699999999999998</v>
      </c>
      <c r="J97" t="str">
        <f>IF(Table1[[#This Row],[Age]]&lt;30,"Young (&lt;30)",IF(Table1[[#This Row],[Age]]&lt;=50,"Middle Age (30-50)","Older (&gt;50)"))</f>
        <v>Young (&lt;30)</v>
      </c>
      <c r="K97">
        <v>21</v>
      </c>
      <c r="L97">
        <v>0</v>
      </c>
    </row>
    <row r="98" spans="1:12" x14ac:dyDescent="0.3">
      <c r="A98">
        <v>0</v>
      </c>
      <c r="B98" t="str">
        <f>IF(Table1[[#This Row],[Glucose]]&lt;100,"Normal",IF(Table1[[#This Row],[Glucose]]&lt;126,"Prediabetes","High Risk"))</f>
        <v>Prediabetes</v>
      </c>
      <c r="C98">
        <v>125</v>
      </c>
      <c r="D98">
        <v>68</v>
      </c>
      <c r="E98">
        <v>0</v>
      </c>
      <c r="F98">
        <v>0</v>
      </c>
      <c r="G98" t="str">
        <f>IF(Table1[[#This Row],[BMI]]&lt;18.5,"Underweight",IF(Table1[[#This Row],[BMI]]&lt;25,"Normal",IF(Table1[[#This Row],[BMI]]&lt;30,"Overweight","Obese")))</f>
        <v>Normal</v>
      </c>
      <c r="H98">
        <v>24.7</v>
      </c>
      <c r="I98">
        <v>0.20599999999999999</v>
      </c>
      <c r="J98" t="str">
        <f>IF(Table1[[#This Row],[Age]]&lt;30,"Young (&lt;30)",IF(Table1[[#This Row],[Age]]&lt;=50,"Middle Age (30-50)","Older (&gt;50)"))</f>
        <v>Young (&lt;30)</v>
      </c>
      <c r="K98">
        <v>21</v>
      </c>
      <c r="L98">
        <v>0</v>
      </c>
    </row>
    <row r="99" spans="1:12" x14ac:dyDescent="0.3">
      <c r="A99">
        <v>0</v>
      </c>
      <c r="B99" t="str">
        <f>IF(Table1[[#This Row],[Glucose]]&lt;100,"Normal",IF(Table1[[#This Row],[Glucose]]&lt;126,"Prediabetes","High Risk"))</f>
        <v>High Risk</v>
      </c>
      <c r="C99">
        <v>132</v>
      </c>
      <c r="D99">
        <v>78</v>
      </c>
      <c r="E99">
        <v>0</v>
      </c>
      <c r="F99">
        <v>0</v>
      </c>
      <c r="G99" t="str">
        <f>IF(Table1[[#This Row],[BMI]]&lt;18.5,"Underweight",IF(Table1[[#This Row],[BMI]]&lt;25,"Normal",IF(Table1[[#This Row],[BMI]]&lt;30,"Overweight","Obese")))</f>
        <v>Obese</v>
      </c>
      <c r="H99">
        <v>32.4</v>
      </c>
      <c r="I99">
        <v>0.39300000000000002</v>
      </c>
      <c r="J99" t="str">
        <f>IF(Table1[[#This Row],[Age]]&lt;30,"Young (&lt;30)",IF(Table1[[#This Row],[Age]]&lt;=50,"Middle Age (30-50)","Older (&gt;50)"))</f>
        <v>Young (&lt;30)</v>
      </c>
      <c r="K99">
        <v>21</v>
      </c>
      <c r="L99">
        <v>0</v>
      </c>
    </row>
    <row r="100" spans="1:12" x14ac:dyDescent="0.3">
      <c r="A100">
        <v>0</v>
      </c>
      <c r="B100" t="str">
        <f>IF(Table1[[#This Row],[Glucose]]&lt;100,"Normal",IF(Table1[[#This Row],[Glucose]]&lt;126,"Prediabetes","High Risk"))</f>
        <v>Prediabetes</v>
      </c>
      <c r="C100">
        <v>102</v>
      </c>
      <c r="D100">
        <v>78</v>
      </c>
      <c r="E100">
        <v>40</v>
      </c>
      <c r="F100">
        <v>90</v>
      </c>
      <c r="G100" t="str">
        <f>IF(Table1[[#This Row],[BMI]]&lt;18.5,"Underweight",IF(Table1[[#This Row],[BMI]]&lt;25,"Normal",IF(Table1[[#This Row],[BMI]]&lt;30,"Overweight","Obese")))</f>
        <v>Obese</v>
      </c>
      <c r="H100">
        <v>34.5</v>
      </c>
      <c r="I100">
        <v>0.23799999999999999</v>
      </c>
      <c r="J100" t="str">
        <f>IF(Table1[[#This Row],[Age]]&lt;30,"Young (&lt;30)",IF(Table1[[#This Row],[Age]]&lt;=50,"Middle Age (30-50)","Older (&gt;50)"))</f>
        <v>Young (&lt;30)</v>
      </c>
      <c r="K100">
        <v>24</v>
      </c>
      <c r="L100">
        <v>0</v>
      </c>
    </row>
    <row r="101" spans="1:12" x14ac:dyDescent="0.3">
      <c r="A101">
        <v>0</v>
      </c>
      <c r="B101" t="str">
        <f>IF(Table1[[#This Row],[Glucose]]&lt;100,"Normal",IF(Table1[[#This Row],[Glucose]]&lt;126,"Prediabetes","High Risk"))</f>
        <v>Prediabetes</v>
      </c>
      <c r="C101">
        <v>102</v>
      </c>
      <c r="D101">
        <v>86</v>
      </c>
      <c r="E101">
        <v>17</v>
      </c>
      <c r="F101">
        <v>105</v>
      </c>
      <c r="G101" t="str">
        <f>IF(Table1[[#This Row],[BMI]]&lt;18.5,"Underweight",IF(Table1[[#This Row],[BMI]]&lt;25,"Normal",IF(Table1[[#This Row],[BMI]]&lt;30,"Overweight","Obese")))</f>
        <v>Overweight</v>
      </c>
      <c r="H101">
        <v>29.3</v>
      </c>
      <c r="I101">
        <v>0.69499999999999995</v>
      </c>
      <c r="J101" t="str">
        <f>IF(Table1[[#This Row],[Age]]&lt;30,"Young (&lt;30)",IF(Table1[[#This Row],[Age]]&lt;=50,"Middle Age (30-50)","Older (&gt;50)"))</f>
        <v>Young (&lt;30)</v>
      </c>
      <c r="K101">
        <v>27</v>
      </c>
      <c r="L101">
        <v>0</v>
      </c>
    </row>
    <row r="102" spans="1:12" x14ac:dyDescent="0.3">
      <c r="A102">
        <v>0</v>
      </c>
      <c r="B102" t="str">
        <f>IF(Table1[[#This Row],[Glucose]]&lt;100,"Normal",IF(Table1[[#This Row],[Glucose]]&lt;126,"Prediabetes","High Risk"))</f>
        <v>High Risk</v>
      </c>
      <c r="C102">
        <v>179</v>
      </c>
      <c r="D102">
        <v>50</v>
      </c>
      <c r="E102">
        <v>36</v>
      </c>
      <c r="F102">
        <v>159</v>
      </c>
      <c r="G102" t="str">
        <f>IF(Table1[[#This Row],[BMI]]&lt;18.5,"Underweight",IF(Table1[[#This Row],[BMI]]&lt;25,"Normal",IF(Table1[[#This Row],[BMI]]&lt;30,"Overweight","Obese")))</f>
        <v>Obese</v>
      </c>
      <c r="H102">
        <v>37.799999999999997</v>
      </c>
      <c r="I102">
        <v>0.45500000000000002</v>
      </c>
      <c r="J102" t="str">
        <f>IF(Table1[[#This Row],[Age]]&lt;30,"Young (&lt;30)",IF(Table1[[#This Row],[Age]]&lt;=50,"Middle Age (30-50)","Older (&gt;50)"))</f>
        <v>Young (&lt;30)</v>
      </c>
      <c r="K102">
        <v>22</v>
      </c>
      <c r="L102">
        <v>1</v>
      </c>
    </row>
    <row r="103" spans="1:12" x14ac:dyDescent="0.3">
      <c r="A103">
        <v>0</v>
      </c>
      <c r="B103" t="str">
        <f>IF(Table1[[#This Row],[Glucose]]&lt;100,"Normal",IF(Table1[[#This Row],[Glucose]]&lt;126,"Prediabetes","High Risk"))</f>
        <v>Prediabetes</v>
      </c>
      <c r="C103">
        <v>107</v>
      </c>
      <c r="D103">
        <v>60</v>
      </c>
      <c r="E103">
        <v>25</v>
      </c>
      <c r="F103">
        <v>0</v>
      </c>
      <c r="G103" t="str">
        <f>IF(Table1[[#This Row],[BMI]]&lt;18.5,"Underweight",IF(Table1[[#This Row],[BMI]]&lt;25,"Normal",IF(Table1[[#This Row],[BMI]]&lt;30,"Overweight","Obese")))</f>
        <v>Overweight</v>
      </c>
      <c r="H103">
        <v>26.4</v>
      </c>
      <c r="I103">
        <v>0.13300000000000001</v>
      </c>
      <c r="J103" t="str">
        <f>IF(Table1[[#This Row],[Age]]&lt;30,"Young (&lt;30)",IF(Table1[[#This Row],[Age]]&lt;=50,"Middle Age (30-50)","Older (&gt;50)"))</f>
        <v>Young (&lt;30)</v>
      </c>
      <c r="K103">
        <v>23</v>
      </c>
      <c r="L103">
        <v>0</v>
      </c>
    </row>
    <row r="104" spans="1:12" x14ac:dyDescent="0.3">
      <c r="A104">
        <v>0</v>
      </c>
      <c r="B104" t="str">
        <f>IF(Table1[[#This Row],[Glucose]]&lt;100,"Normal",IF(Table1[[#This Row],[Glucose]]&lt;126,"Prediabetes","High Risk"))</f>
        <v>Normal</v>
      </c>
      <c r="C104">
        <v>93</v>
      </c>
      <c r="D104">
        <v>60</v>
      </c>
      <c r="E104">
        <v>0</v>
      </c>
      <c r="F104">
        <v>0</v>
      </c>
      <c r="G104" t="str">
        <f>IF(Table1[[#This Row],[BMI]]&lt;18.5,"Underweight",IF(Table1[[#This Row],[BMI]]&lt;25,"Normal",IF(Table1[[#This Row],[BMI]]&lt;30,"Overweight","Obese")))</f>
        <v>Obese</v>
      </c>
      <c r="H104">
        <v>35.299999999999997</v>
      </c>
      <c r="I104">
        <v>0.26300000000000001</v>
      </c>
      <c r="J104" t="str">
        <f>IF(Table1[[#This Row],[Age]]&lt;30,"Young (&lt;30)",IF(Table1[[#This Row],[Age]]&lt;=50,"Middle Age (30-50)","Older (&gt;50)"))</f>
        <v>Young (&lt;30)</v>
      </c>
      <c r="K104">
        <v>25</v>
      </c>
      <c r="L104">
        <v>0</v>
      </c>
    </row>
    <row r="105" spans="1:12" x14ac:dyDescent="0.3">
      <c r="A105">
        <v>0</v>
      </c>
      <c r="B105" t="str">
        <f>IF(Table1[[#This Row],[Glucose]]&lt;100,"Normal",IF(Table1[[#This Row],[Glucose]]&lt;126,"Prediabetes","High Risk"))</f>
        <v>High Risk</v>
      </c>
      <c r="C105">
        <v>162</v>
      </c>
      <c r="D105">
        <v>76</v>
      </c>
      <c r="E105">
        <v>36</v>
      </c>
      <c r="F105">
        <v>0</v>
      </c>
      <c r="G105" t="str">
        <f>IF(Table1[[#This Row],[BMI]]&lt;18.5,"Underweight",IF(Table1[[#This Row],[BMI]]&lt;25,"Normal",IF(Table1[[#This Row],[BMI]]&lt;30,"Overweight","Obese")))</f>
        <v>Obese</v>
      </c>
      <c r="H105">
        <v>49.6</v>
      </c>
      <c r="I105">
        <v>0.36399999999999999</v>
      </c>
      <c r="J105" t="str">
        <f>IF(Table1[[#This Row],[Age]]&lt;30,"Young (&lt;30)",IF(Table1[[#This Row],[Age]]&lt;=50,"Middle Age (30-50)","Older (&gt;50)"))</f>
        <v>Young (&lt;30)</v>
      </c>
      <c r="K105">
        <v>26</v>
      </c>
      <c r="L105">
        <v>1</v>
      </c>
    </row>
    <row r="106" spans="1:12" x14ac:dyDescent="0.3">
      <c r="A106">
        <v>0</v>
      </c>
      <c r="B106" t="str">
        <f>IF(Table1[[#This Row],[Glucose]]&lt;100,"Normal",IF(Table1[[#This Row],[Glucose]]&lt;126,"Prediabetes","High Risk"))</f>
        <v>Normal</v>
      </c>
      <c r="C106">
        <v>95</v>
      </c>
      <c r="D106">
        <v>64</v>
      </c>
      <c r="E106">
        <v>39</v>
      </c>
      <c r="F106">
        <v>105</v>
      </c>
      <c r="G106" t="str">
        <f>IF(Table1[[#This Row],[BMI]]&lt;18.5,"Underweight",IF(Table1[[#This Row],[BMI]]&lt;25,"Normal",IF(Table1[[#This Row],[BMI]]&lt;30,"Overweight","Obese")))</f>
        <v>Obese</v>
      </c>
      <c r="H106">
        <v>44.6</v>
      </c>
      <c r="I106">
        <v>0.36599999999999999</v>
      </c>
      <c r="J106" t="str">
        <f>IF(Table1[[#This Row],[Age]]&lt;30,"Young (&lt;30)",IF(Table1[[#This Row],[Age]]&lt;=50,"Middle Age (30-50)","Older (&gt;50)"))</f>
        <v>Young (&lt;30)</v>
      </c>
      <c r="K106">
        <v>22</v>
      </c>
      <c r="L106">
        <v>0</v>
      </c>
    </row>
    <row r="107" spans="1:12" x14ac:dyDescent="0.3">
      <c r="A107">
        <v>0</v>
      </c>
      <c r="B107" t="str">
        <f>IF(Table1[[#This Row],[Glucose]]&lt;100,"Normal",IF(Table1[[#This Row],[Glucose]]&lt;126,"Prediabetes","High Risk"))</f>
        <v>Normal</v>
      </c>
      <c r="C107">
        <v>99</v>
      </c>
      <c r="D107">
        <v>0</v>
      </c>
      <c r="E107">
        <v>0</v>
      </c>
      <c r="F107">
        <v>0</v>
      </c>
      <c r="G107" t="str">
        <f>IF(Table1[[#This Row],[BMI]]&lt;18.5,"Underweight",IF(Table1[[#This Row],[BMI]]&lt;25,"Normal",IF(Table1[[#This Row],[BMI]]&lt;30,"Overweight","Obese")))</f>
        <v>Overweight</v>
      </c>
      <c r="H107">
        <v>25</v>
      </c>
      <c r="I107">
        <v>0.253</v>
      </c>
      <c r="J107" t="str">
        <f>IF(Table1[[#This Row],[Age]]&lt;30,"Young (&lt;30)",IF(Table1[[#This Row],[Age]]&lt;=50,"Middle Age (30-50)","Older (&gt;50)"))</f>
        <v>Young (&lt;30)</v>
      </c>
      <c r="K107">
        <v>22</v>
      </c>
      <c r="L107">
        <v>0</v>
      </c>
    </row>
    <row r="108" spans="1:12" x14ac:dyDescent="0.3">
      <c r="A108">
        <v>0</v>
      </c>
      <c r="B108" t="str">
        <f>IF(Table1[[#This Row],[Glucose]]&lt;100,"Normal",IF(Table1[[#This Row],[Glucose]]&lt;126,"Prediabetes","High Risk"))</f>
        <v>High Risk</v>
      </c>
      <c r="C108">
        <v>134</v>
      </c>
      <c r="D108">
        <v>58</v>
      </c>
      <c r="E108">
        <v>20</v>
      </c>
      <c r="F108">
        <v>291</v>
      </c>
      <c r="G108" t="str">
        <f>IF(Table1[[#This Row],[BMI]]&lt;18.5,"Underweight",IF(Table1[[#This Row],[BMI]]&lt;25,"Normal",IF(Table1[[#This Row],[BMI]]&lt;30,"Overweight","Obese")))</f>
        <v>Overweight</v>
      </c>
      <c r="H108">
        <v>26.4</v>
      </c>
      <c r="I108">
        <v>0.35199999999999998</v>
      </c>
      <c r="J108" t="str">
        <f>IF(Table1[[#This Row],[Age]]&lt;30,"Young (&lt;30)",IF(Table1[[#This Row],[Age]]&lt;=50,"Middle Age (30-50)","Older (&gt;50)"))</f>
        <v>Young (&lt;30)</v>
      </c>
      <c r="K108">
        <v>21</v>
      </c>
      <c r="L108">
        <v>0</v>
      </c>
    </row>
    <row r="109" spans="1:12" x14ac:dyDescent="0.3">
      <c r="A109">
        <v>0</v>
      </c>
      <c r="B109" t="str">
        <f>IF(Table1[[#This Row],[Glucose]]&lt;100,"Normal",IF(Table1[[#This Row],[Glucose]]&lt;126,"Prediabetes","High Risk"))</f>
        <v>High Risk</v>
      </c>
      <c r="C109">
        <v>141</v>
      </c>
      <c r="D109">
        <v>84</v>
      </c>
      <c r="E109">
        <v>26</v>
      </c>
      <c r="F109">
        <v>0</v>
      </c>
      <c r="G109" t="str">
        <f>IF(Table1[[#This Row],[BMI]]&lt;18.5,"Underweight",IF(Table1[[#This Row],[BMI]]&lt;25,"Normal",IF(Table1[[#This Row],[BMI]]&lt;30,"Overweight","Obese")))</f>
        <v>Obese</v>
      </c>
      <c r="H109">
        <v>32.4</v>
      </c>
      <c r="I109">
        <v>0.433</v>
      </c>
      <c r="J109" t="str">
        <f>IF(Table1[[#This Row],[Age]]&lt;30,"Young (&lt;30)",IF(Table1[[#This Row],[Age]]&lt;=50,"Middle Age (30-50)","Older (&gt;50)"))</f>
        <v>Young (&lt;30)</v>
      </c>
      <c r="K109">
        <v>22</v>
      </c>
      <c r="L109">
        <v>0</v>
      </c>
    </row>
    <row r="110" spans="1:12" x14ac:dyDescent="0.3">
      <c r="A110">
        <v>0</v>
      </c>
      <c r="B110" t="str">
        <f>IF(Table1[[#This Row],[Glucose]]&lt;100,"Normal",IF(Table1[[#This Row],[Glucose]]&lt;126,"Prediabetes","High Risk"))</f>
        <v>High Risk</v>
      </c>
      <c r="C110">
        <v>126</v>
      </c>
      <c r="D110">
        <v>86</v>
      </c>
      <c r="E110">
        <v>27</v>
      </c>
      <c r="F110">
        <v>120</v>
      </c>
      <c r="G110" t="str">
        <f>IF(Table1[[#This Row],[BMI]]&lt;18.5,"Underweight",IF(Table1[[#This Row],[BMI]]&lt;25,"Normal",IF(Table1[[#This Row],[BMI]]&lt;30,"Overweight","Obese")))</f>
        <v>Overweight</v>
      </c>
      <c r="H110">
        <v>27.4</v>
      </c>
      <c r="I110">
        <v>0.51500000000000001</v>
      </c>
      <c r="J110" t="str">
        <f>IF(Table1[[#This Row],[Age]]&lt;30,"Young (&lt;30)",IF(Table1[[#This Row],[Age]]&lt;=50,"Middle Age (30-50)","Older (&gt;50)"))</f>
        <v>Young (&lt;30)</v>
      </c>
      <c r="K110">
        <v>21</v>
      </c>
      <c r="L110">
        <v>0</v>
      </c>
    </row>
    <row r="111" spans="1:12" x14ac:dyDescent="0.3">
      <c r="A111">
        <v>0</v>
      </c>
      <c r="B111" t="str">
        <f>IF(Table1[[#This Row],[Glucose]]&lt;100,"Normal",IF(Table1[[#This Row],[Glucose]]&lt;126,"Prediabetes","High Risk"))</f>
        <v>High Risk</v>
      </c>
      <c r="C111">
        <v>181</v>
      </c>
      <c r="D111">
        <v>88</v>
      </c>
      <c r="E111">
        <v>44</v>
      </c>
      <c r="F111">
        <v>510</v>
      </c>
      <c r="G111" t="str">
        <f>IF(Table1[[#This Row],[BMI]]&lt;18.5,"Underweight",IF(Table1[[#This Row],[BMI]]&lt;25,"Normal",IF(Table1[[#This Row],[BMI]]&lt;30,"Overweight","Obese")))</f>
        <v>Obese</v>
      </c>
      <c r="H111">
        <v>43.3</v>
      </c>
      <c r="I111">
        <v>0.222</v>
      </c>
      <c r="J111" t="str">
        <f>IF(Table1[[#This Row],[Age]]&lt;30,"Young (&lt;30)",IF(Table1[[#This Row],[Age]]&lt;=50,"Middle Age (30-50)","Older (&gt;50)"))</f>
        <v>Young (&lt;30)</v>
      </c>
      <c r="K111">
        <v>26</v>
      </c>
      <c r="L111">
        <v>1</v>
      </c>
    </row>
    <row r="112" spans="1:12" x14ac:dyDescent="0.3">
      <c r="A112">
        <v>0</v>
      </c>
      <c r="B112" t="str">
        <f>IF(Table1[[#This Row],[Glucose]]&lt;100,"Normal",IF(Table1[[#This Row],[Glucose]]&lt;126,"Prediabetes","High Risk"))</f>
        <v>Prediabetes</v>
      </c>
      <c r="C112">
        <v>123</v>
      </c>
      <c r="D112">
        <v>72</v>
      </c>
      <c r="E112">
        <v>0</v>
      </c>
      <c r="F112">
        <v>0</v>
      </c>
      <c r="G112" t="str">
        <f>IF(Table1[[#This Row],[BMI]]&lt;18.5,"Underweight",IF(Table1[[#This Row],[BMI]]&lt;25,"Normal",IF(Table1[[#This Row],[BMI]]&lt;30,"Overweight","Obese")))</f>
        <v>Obese</v>
      </c>
      <c r="H112">
        <v>36.299999999999997</v>
      </c>
      <c r="I112">
        <v>0.25800000000000001</v>
      </c>
      <c r="J112" t="str">
        <f>IF(Table1[[#This Row],[Age]]&lt;30,"Young (&lt;30)",IF(Table1[[#This Row],[Age]]&lt;=50,"Middle Age (30-50)","Older (&gt;50)"))</f>
        <v>Older (&gt;50)</v>
      </c>
      <c r="K112">
        <v>52</v>
      </c>
      <c r="L112">
        <v>1</v>
      </c>
    </row>
    <row r="113" spans="1:12" x14ac:dyDescent="0.3">
      <c r="A113">
        <v>1</v>
      </c>
      <c r="B113" t="str">
        <f>IF(Table1[[#This Row],[Glucose]]&lt;100,"Normal",IF(Table1[[#This Row],[Glucose]]&lt;126,"Prediabetes","High Risk"))</f>
        <v>Normal</v>
      </c>
      <c r="C113">
        <v>85</v>
      </c>
      <c r="D113">
        <v>66</v>
      </c>
      <c r="E113">
        <v>29</v>
      </c>
      <c r="F113">
        <v>0</v>
      </c>
      <c r="G113" t="str">
        <f>IF(Table1[[#This Row],[BMI]]&lt;18.5,"Underweight",IF(Table1[[#This Row],[BMI]]&lt;25,"Normal",IF(Table1[[#This Row],[BMI]]&lt;30,"Overweight","Obese")))</f>
        <v>Overweight</v>
      </c>
      <c r="H113">
        <v>26.6</v>
      </c>
      <c r="I113">
        <v>0.35099999999999998</v>
      </c>
      <c r="J113" t="str">
        <f>IF(Table1[[#This Row],[Age]]&lt;30,"Young (&lt;30)",IF(Table1[[#This Row],[Age]]&lt;=50,"Middle Age (30-50)","Older (&gt;50)"))</f>
        <v>Middle Age (30-50)</v>
      </c>
      <c r="K113">
        <v>31</v>
      </c>
      <c r="L113">
        <v>0</v>
      </c>
    </row>
    <row r="114" spans="1:12" x14ac:dyDescent="0.3">
      <c r="A114">
        <v>1</v>
      </c>
      <c r="B114" t="str">
        <f>IF(Table1[[#This Row],[Glucose]]&lt;100,"Normal",IF(Table1[[#This Row],[Glucose]]&lt;126,"Prediabetes","High Risk"))</f>
        <v>Normal</v>
      </c>
      <c r="C114">
        <v>89</v>
      </c>
      <c r="D114">
        <v>66</v>
      </c>
      <c r="E114">
        <v>23</v>
      </c>
      <c r="F114">
        <v>94</v>
      </c>
      <c r="G114" t="str">
        <f>IF(Table1[[#This Row],[BMI]]&lt;18.5,"Underweight",IF(Table1[[#This Row],[BMI]]&lt;25,"Normal",IF(Table1[[#This Row],[BMI]]&lt;30,"Overweight","Obese")))</f>
        <v>Overweight</v>
      </c>
      <c r="H114">
        <v>28.1</v>
      </c>
      <c r="I114">
        <v>0.16700000000000001</v>
      </c>
      <c r="J114" t="str">
        <f>IF(Table1[[#This Row],[Age]]&lt;30,"Young (&lt;30)",IF(Table1[[#This Row],[Age]]&lt;=50,"Middle Age (30-50)","Older (&gt;50)"))</f>
        <v>Young (&lt;30)</v>
      </c>
      <c r="K114">
        <v>21</v>
      </c>
      <c r="L114">
        <v>0</v>
      </c>
    </row>
    <row r="115" spans="1:12" x14ac:dyDescent="0.3">
      <c r="A115">
        <v>1</v>
      </c>
      <c r="B115" t="str">
        <f>IF(Table1[[#This Row],[Glucose]]&lt;100,"Normal",IF(Table1[[#This Row],[Glucose]]&lt;126,"Prediabetes","High Risk"))</f>
        <v>High Risk</v>
      </c>
      <c r="C115">
        <v>189</v>
      </c>
      <c r="D115">
        <v>60</v>
      </c>
      <c r="E115">
        <v>23</v>
      </c>
      <c r="F115">
        <v>846</v>
      </c>
      <c r="G115" t="str">
        <f>IF(Table1[[#This Row],[BMI]]&lt;18.5,"Underweight",IF(Table1[[#This Row],[BMI]]&lt;25,"Normal",IF(Table1[[#This Row],[BMI]]&lt;30,"Overweight","Obese")))</f>
        <v>Obese</v>
      </c>
      <c r="H115">
        <v>30.1</v>
      </c>
      <c r="I115">
        <v>0.39800000000000002</v>
      </c>
      <c r="J115" t="str">
        <f>IF(Table1[[#This Row],[Age]]&lt;30,"Young (&lt;30)",IF(Table1[[#This Row],[Age]]&lt;=50,"Middle Age (30-50)","Older (&gt;50)"))</f>
        <v>Older (&gt;50)</v>
      </c>
      <c r="K115">
        <v>59</v>
      </c>
      <c r="L115">
        <v>1</v>
      </c>
    </row>
    <row r="116" spans="1:12" x14ac:dyDescent="0.3">
      <c r="A116">
        <v>1</v>
      </c>
      <c r="B116" t="str">
        <f>IF(Table1[[#This Row],[Glucose]]&lt;100,"Normal",IF(Table1[[#This Row],[Glucose]]&lt;126,"Prediabetes","High Risk"))</f>
        <v>Prediabetes</v>
      </c>
      <c r="C116">
        <v>103</v>
      </c>
      <c r="D116">
        <v>30</v>
      </c>
      <c r="E116">
        <v>38</v>
      </c>
      <c r="F116">
        <v>83</v>
      </c>
      <c r="G116" t="str">
        <f>IF(Table1[[#This Row],[BMI]]&lt;18.5,"Underweight",IF(Table1[[#This Row],[BMI]]&lt;25,"Normal",IF(Table1[[#This Row],[BMI]]&lt;30,"Overweight","Obese")))</f>
        <v>Obese</v>
      </c>
      <c r="H116">
        <v>43.3</v>
      </c>
      <c r="I116">
        <v>0.183</v>
      </c>
      <c r="J116" t="str">
        <f>IF(Table1[[#This Row],[Age]]&lt;30,"Young (&lt;30)",IF(Table1[[#This Row],[Age]]&lt;=50,"Middle Age (30-50)","Older (&gt;50)"))</f>
        <v>Middle Age (30-50)</v>
      </c>
      <c r="K116">
        <v>33</v>
      </c>
      <c r="L116">
        <v>0</v>
      </c>
    </row>
    <row r="117" spans="1:12" x14ac:dyDescent="0.3">
      <c r="A117">
        <v>1</v>
      </c>
      <c r="B117" t="str">
        <f>IF(Table1[[#This Row],[Glucose]]&lt;100,"Normal",IF(Table1[[#This Row],[Glucose]]&lt;126,"Prediabetes","High Risk"))</f>
        <v>Prediabetes</v>
      </c>
      <c r="C117">
        <v>115</v>
      </c>
      <c r="D117">
        <v>70</v>
      </c>
      <c r="E117">
        <v>30</v>
      </c>
      <c r="F117">
        <v>96</v>
      </c>
      <c r="G117" t="str">
        <f>IF(Table1[[#This Row],[BMI]]&lt;18.5,"Underweight",IF(Table1[[#This Row],[BMI]]&lt;25,"Normal",IF(Table1[[#This Row],[BMI]]&lt;30,"Overweight","Obese")))</f>
        <v>Obese</v>
      </c>
      <c r="H117">
        <v>34.6</v>
      </c>
      <c r="I117">
        <v>0.52900000000000003</v>
      </c>
      <c r="J117" t="str">
        <f>IF(Table1[[#This Row],[Age]]&lt;30,"Young (&lt;30)",IF(Table1[[#This Row],[Age]]&lt;=50,"Middle Age (30-50)","Older (&gt;50)"))</f>
        <v>Middle Age (30-50)</v>
      </c>
      <c r="K117">
        <v>32</v>
      </c>
      <c r="L117">
        <v>1</v>
      </c>
    </row>
    <row r="118" spans="1:12" x14ac:dyDescent="0.3">
      <c r="A118">
        <v>1</v>
      </c>
      <c r="B118" t="str">
        <f>IF(Table1[[#This Row],[Glucose]]&lt;100,"Normal",IF(Table1[[#This Row],[Glucose]]&lt;126,"Prediabetes","High Risk"))</f>
        <v>Normal</v>
      </c>
      <c r="C118">
        <v>97</v>
      </c>
      <c r="D118">
        <v>66</v>
      </c>
      <c r="E118">
        <v>15</v>
      </c>
      <c r="F118">
        <v>140</v>
      </c>
      <c r="G118" t="str">
        <f>IF(Table1[[#This Row],[BMI]]&lt;18.5,"Underweight",IF(Table1[[#This Row],[BMI]]&lt;25,"Normal",IF(Table1[[#This Row],[BMI]]&lt;30,"Overweight","Obese")))</f>
        <v>Normal</v>
      </c>
      <c r="H118">
        <v>23.2</v>
      </c>
      <c r="I118">
        <v>0.48699999999999999</v>
      </c>
      <c r="J118" t="str">
        <f>IF(Table1[[#This Row],[Age]]&lt;30,"Young (&lt;30)",IF(Table1[[#This Row],[Age]]&lt;=50,"Middle Age (30-50)","Older (&gt;50)"))</f>
        <v>Young (&lt;30)</v>
      </c>
      <c r="K118">
        <v>22</v>
      </c>
      <c r="L118">
        <v>0</v>
      </c>
    </row>
    <row r="119" spans="1:12" x14ac:dyDescent="0.3">
      <c r="A119">
        <v>1</v>
      </c>
      <c r="B119" t="str">
        <f>IF(Table1[[#This Row],[Glucose]]&lt;100,"Normal",IF(Table1[[#This Row],[Glucose]]&lt;126,"Prediabetes","High Risk"))</f>
        <v>High Risk</v>
      </c>
      <c r="C119">
        <v>146</v>
      </c>
      <c r="D119">
        <v>56</v>
      </c>
      <c r="E119">
        <v>0</v>
      </c>
      <c r="F119">
        <v>0</v>
      </c>
      <c r="G119" t="str">
        <f>IF(Table1[[#This Row],[BMI]]&lt;18.5,"Underweight",IF(Table1[[#This Row],[BMI]]&lt;25,"Normal",IF(Table1[[#This Row],[BMI]]&lt;30,"Overweight","Obese")))</f>
        <v>Overweight</v>
      </c>
      <c r="H119">
        <v>29.7</v>
      </c>
      <c r="I119">
        <v>0.56399999999999995</v>
      </c>
      <c r="J119" t="str">
        <f>IF(Table1[[#This Row],[Age]]&lt;30,"Young (&lt;30)",IF(Table1[[#This Row],[Age]]&lt;=50,"Middle Age (30-50)","Older (&gt;50)"))</f>
        <v>Young (&lt;30)</v>
      </c>
      <c r="K119">
        <v>29</v>
      </c>
      <c r="L119">
        <v>0</v>
      </c>
    </row>
    <row r="120" spans="1:12" x14ac:dyDescent="0.3">
      <c r="A120">
        <v>1</v>
      </c>
      <c r="B120" t="str">
        <f>IF(Table1[[#This Row],[Glucose]]&lt;100,"Normal",IF(Table1[[#This Row],[Glucose]]&lt;126,"Prediabetes","High Risk"))</f>
        <v>Prediabetes</v>
      </c>
      <c r="C120">
        <v>103</v>
      </c>
      <c r="D120">
        <v>80</v>
      </c>
      <c r="E120">
        <v>11</v>
      </c>
      <c r="F120">
        <v>82</v>
      </c>
      <c r="G120" t="str">
        <f>IF(Table1[[#This Row],[BMI]]&lt;18.5,"Underweight",IF(Table1[[#This Row],[BMI]]&lt;25,"Normal",IF(Table1[[#This Row],[BMI]]&lt;30,"Overweight","Obese")))</f>
        <v>Normal</v>
      </c>
      <c r="H120">
        <v>19.399999999999999</v>
      </c>
      <c r="I120">
        <v>0.49099999999999999</v>
      </c>
      <c r="J120" t="str">
        <f>IF(Table1[[#This Row],[Age]]&lt;30,"Young (&lt;30)",IF(Table1[[#This Row],[Age]]&lt;=50,"Middle Age (30-50)","Older (&gt;50)"))</f>
        <v>Young (&lt;30)</v>
      </c>
      <c r="K120">
        <v>22</v>
      </c>
      <c r="L120">
        <v>0</v>
      </c>
    </row>
    <row r="121" spans="1:12" x14ac:dyDescent="0.3">
      <c r="A121">
        <v>1</v>
      </c>
      <c r="B121" t="str">
        <f>IF(Table1[[#This Row],[Glucose]]&lt;100,"Normal",IF(Table1[[#This Row],[Glucose]]&lt;126,"Prediabetes","High Risk"))</f>
        <v>Prediabetes</v>
      </c>
      <c r="C121">
        <v>101</v>
      </c>
      <c r="D121">
        <v>50</v>
      </c>
      <c r="E121">
        <v>15</v>
      </c>
      <c r="F121">
        <v>36</v>
      </c>
      <c r="G121" t="str">
        <f>IF(Table1[[#This Row],[BMI]]&lt;18.5,"Underweight",IF(Table1[[#This Row],[BMI]]&lt;25,"Normal",IF(Table1[[#This Row],[BMI]]&lt;30,"Overweight","Obese")))</f>
        <v>Normal</v>
      </c>
      <c r="H121">
        <v>24.2</v>
      </c>
      <c r="I121">
        <v>0.52600000000000002</v>
      </c>
      <c r="J121" t="str">
        <f>IF(Table1[[#This Row],[Age]]&lt;30,"Young (&lt;30)",IF(Table1[[#This Row],[Age]]&lt;=50,"Middle Age (30-50)","Older (&gt;50)"))</f>
        <v>Young (&lt;30)</v>
      </c>
      <c r="K121">
        <v>26</v>
      </c>
      <c r="L121">
        <v>0</v>
      </c>
    </row>
    <row r="122" spans="1:12" x14ac:dyDescent="0.3">
      <c r="A122">
        <v>1</v>
      </c>
      <c r="B122" t="str">
        <f>IF(Table1[[#This Row],[Glucose]]&lt;100,"Normal",IF(Table1[[#This Row],[Glucose]]&lt;126,"Prediabetes","High Risk"))</f>
        <v>Normal</v>
      </c>
      <c r="C122">
        <v>73</v>
      </c>
      <c r="D122">
        <v>50</v>
      </c>
      <c r="E122">
        <v>10</v>
      </c>
      <c r="F122">
        <v>0</v>
      </c>
      <c r="G122" t="str">
        <f>IF(Table1[[#This Row],[BMI]]&lt;18.5,"Underweight",IF(Table1[[#This Row],[BMI]]&lt;25,"Normal",IF(Table1[[#This Row],[BMI]]&lt;30,"Overweight","Obese")))</f>
        <v>Normal</v>
      </c>
      <c r="H122">
        <v>23</v>
      </c>
      <c r="I122">
        <v>0.248</v>
      </c>
      <c r="J122" t="str">
        <f>IF(Table1[[#This Row],[Age]]&lt;30,"Young (&lt;30)",IF(Table1[[#This Row],[Age]]&lt;=50,"Middle Age (30-50)","Older (&gt;50)"))</f>
        <v>Young (&lt;30)</v>
      </c>
      <c r="K122">
        <v>21</v>
      </c>
      <c r="L122">
        <v>0</v>
      </c>
    </row>
    <row r="123" spans="1:12" x14ac:dyDescent="0.3">
      <c r="A123">
        <v>1</v>
      </c>
      <c r="B123" t="str">
        <f>IF(Table1[[#This Row],[Glucose]]&lt;100,"Normal",IF(Table1[[#This Row],[Glucose]]&lt;126,"Prediabetes","High Risk"))</f>
        <v>Normal</v>
      </c>
      <c r="C123">
        <v>95</v>
      </c>
      <c r="D123">
        <v>66</v>
      </c>
      <c r="E123">
        <v>13</v>
      </c>
      <c r="F123">
        <v>38</v>
      </c>
      <c r="G123" t="str">
        <f>IF(Table1[[#This Row],[BMI]]&lt;18.5,"Underweight",IF(Table1[[#This Row],[BMI]]&lt;25,"Normal",IF(Table1[[#This Row],[BMI]]&lt;30,"Overweight","Obese")))</f>
        <v>Normal</v>
      </c>
      <c r="H123">
        <v>19.600000000000001</v>
      </c>
      <c r="I123">
        <v>0.33400000000000002</v>
      </c>
      <c r="J123" t="str">
        <f>IF(Table1[[#This Row],[Age]]&lt;30,"Young (&lt;30)",IF(Table1[[#This Row],[Age]]&lt;=50,"Middle Age (30-50)","Older (&gt;50)"))</f>
        <v>Young (&lt;30)</v>
      </c>
      <c r="K123">
        <v>25</v>
      </c>
      <c r="L123">
        <v>0</v>
      </c>
    </row>
    <row r="124" spans="1:12" x14ac:dyDescent="0.3">
      <c r="A124">
        <v>1</v>
      </c>
      <c r="B124" t="str">
        <f>IF(Table1[[#This Row],[Glucose]]&lt;100,"Normal",IF(Table1[[#This Row],[Glucose]]&lt;126,"Prediabetes","High Risk"))</f>
        <v>Normal</v>
      </c>
      <c r="C124">
        <v>79</v>
      </c>
      <c r="D124">
        <v>75</v>
      </c>
      <c r="E124">
        <v>30</v>
      </c>
      <c r="F124">
        <v>0</v>
      </c>
      <c r="G124" t="str">
        <f>IF(Table1[[#This Row],[BMI]]&lt;18.5,"Underweight",IF(Table1[[#This Row],[BMI]]&lt;25,"Normal",IF(Table1[[#This Row],[BMI]]&lt;30,"Overweight","Obese")))</f>
        <v>Obese</v>
      </c>
      <c r="H124">
        <v>32</v>
      </c>
      <c r="I124">
        <v>0.39600000000000002</v>
      </c>
      <c r="J124" t="str">
        <f>IF(Table1[[#This Row],[Age]]&lt;30,"Young (&lt;30)",IF(Table1[[#This Row],[Age]]&lt;=50,"Middle Age (30-50)","Older (&gt;50)"))</f>
        <v>Young (&lt;30)</v>
      </c>
      <c r="K124">
        <v>22</v>
      </c>
      <c r="L124">
        <v>0</v>
      </c>
    </row>
    <row r="125" spans="1:12" x14ac:dyDescent="0.3">
      <c r="A125">
        <v>1</v>
      </c>
      <c r="B125" t="str">
        <f>IF(Table1[[#This Row],[Glucose]]&lt;100,"Normal",IF(Table1[[#This Row],[Glucose]]&lt;126,"Prediabetes","High Risk"))</f>
        <v>Normal</v>
      </c>
      <c r="C125">
        <v>0</v>
      </c>
      <c r="D125">
        <v>48</v>
      </c>
      <c r="E125">
        <v>20</v>
      </c>
      <c r="F125">
        <v>0</v>
      </c>
      <c r="G125" t="str">
        <f>IF(Table1[[#This Row],[BMI]]&lt;18.5,"Underweight",IF(Table1[[#This Row],[BMI]]&lt;25,"Normal",IF(Table1[[#This Row],[BMI]]&lt;30,"Overweight","Obese")))</f>
        <v>Normal</v>
      </c>
      <c r="H125">
        <v>24.7</v>
      </c>
      <c r="I125">
        <v>0.14000000000000001</v>
      </c>
      <c r="J125" t="str">
        <f>IF(Table1[[#This Row],[Age]]&lt;30,"Young (&lt;30)",IF(Table1[[#This Row],[Age]]&lt;=50,"Middle Age (30-50)","Older (&gt;50)"))</f>
        <v>Young (&lt;30)</v>
      </c>
      <c r="K125">
        <v>22</v>
      </c>
      <c r="L125">
        <v>0</v>
      </c>
    </row>
    <row r="126" spans="1:12" x14ac:dyDescent="0.3">
      <c r="A126">
        <v>1</v>
      </c>
      <c r="B126" t="str">
        <f>IF(Table1[[#This Row],[Glucose]]&lt;100,"Normal",IF(Table1[[#This Row],[Glucose]]&lt;126,"Prediabetes","High Risk"))</f>
        <v>Prediabetes</v>
      </c>
      <c r="C126">
        <v>107</v>
      </c>
      <c r="D126">
        <v>68</v>
      </c>
      <c r="E126">
        <v>19</v>
      </c>
      <c r="F126">
        <v>0</v>
      </c>
      <c r="G126" t="str">
        <f>IF(Table1[[#This Row],[BMI]]&lt;18.5,"Underweight",IF(Table1[[#This Row],[BMI]]&lt;25,"Normal",IF(Table1[[#This Row],[BMI]]&lt;30,"Overweight","Obese")))</f>
        <v>Overweight</v>
      </c>
      <c r="H126">
        <v>26.5</v>
      </c>
      <c r="I126">
        <v>0.16500000000000001</v>
      </c>
      <c r="J126" t="str">
        <f>IF(Table1[[#This Row],[Age]]&lt;30,"Young (&lt;30)",IF(Table1[[#This Row],[Age]]&lt;=50,"Middle Age (30-50)","Older (&gt;50)"))</f>
        <v>Young (&lt;30)</v>
      </c>
      <c r="K126">
        <v>24</v>
      </c>
      <c r="L126">
        <v>0</v>
      </c>
    </row>
    <row r="127" spans="1:12" x14ac:dyDescent="0.3">
      <c r="A127">
        <v>1</v>
      </c>
      <c r="B127" t="str">
        <f>IF(Table1[[#This Row],[Glucose]]&lt;100,"Normal",IF(Table1[[#This Row],[Glucose]]&lt;126,"Prediabetes","High Risk"))</f>
        <v>Normal</v>
      </c>
      <c r="C127">
        <v>80</v>
      </c>
      <c r="D127">
        <v>55</v>
      </c>
      <c r="E127">
        <v>0</v>
      </c>
      <c r="F127">
        <v>0</v>
      </c>
      <c r="G127" t="str">
        <f>IF(Table1[[#This Row],[BMI]]&lt;18.5,"Underweight",IF(Table1[[#This Row],[BMI]]&lt;25,"Normal",IF(Table1[[#This Row],[BMI]]&lt;30,"Overweight","Obese")))</f>
        <v>Normal</v>
      </c>
      <c r="H127">
        <v>19.100000000000001</v>
      </c>
      <c r="I127">
        <v>0.25800000000000001</v>
      </c>
      <c r="J127" t="str">
        <f>IF(Table1[[#This Row],[Age]]&lt;30,"Young (&lt;30)",IF(Table1[[#This Row],[Age]]&lt;=50,"Middle Age (30-50)","Older (&gt;50)"))</f>
        <v>Young (&lt;30)</v>
      </c>
      <c r="K127">
        <v>21</v>
      </c>
      <c r="L127">
        <v>0</v>
      </c>
    </row>
    <row r="128" spans="1:12" x14ac:dyDescent="0.3">
      <c r="A128">
        <v>1</v>
      </c>
      <c r="B128" t="str">
        <f>IF(Table1[[#This Row],[Glucose]]&lt;100,"Normal",IF(Table1[[#This Row],[Glucose]]&lt;126,"Prediabetes","High Risk"))</f>
        <v>Normal</v>
      </c>
      <c r="C128">
        <v>71</v>
      </c>
      <c r="D128">
        <v>48</v>
      </c>
      <c r="E128">
        <v>18</v>
      </c>
      <c r="F128">
        <v>76</v>
      </c>
      <c r="G128" t="str">
        <f>IF(Table1[[#This Row],[BMI]]&lt;18.5,"Underweight",IF(Table1[[#This Row],[BMI]]&lt;25,"Normal",IF(Table1[[#This Row],[BMI]]&lt;30,"Overweight","Obese")))</f>
        <v>Normal</v>
      </c>
      <c r="H128">
        <v>20.399999999999999</v>
      </c>
      <c r="I128">
        <v>0.32300000000000001</v>
      </c>
      <c r="J128" t="str">
        <f>IF(Table1[[#This Row],[Age]]&lt;30,"Young (&lt;30)",IF(Table1[[#This Row],[Age]]&lt;=50,"Middle Age (30-50)","Older (&gt;50)"))</f>
        <v>Young (&lt;30)</v>
      </c>
      <c r="K128">
        <v>22</v>
      </c>
      <c r="L128">
        <v>0</v>
      </c>
    </row>
    <row r="129" spans="1:12" x14ac:dyDescent="0.3">
      <c r="A129">
        <v>1</v>
      </c>
      <c r="B129" t="str">
        <f>IF(Table1[[#This Row],[Glucose]]&lt;100,"Normal",IF(Table1[[#This Row],[Glucose]]&lt;126,"Prediabetes","High Risk"))</f>
        <v>Prediabetes</v>
      </c>
      <c r="C129">
        <v>122</v>
      </c>
      <c r="D129">
        <v>90</v>
      </c>
      <c r="E129">
        <v>51</v>
      </c>
      <c r="F129">
        <v>220</v>
      </c>
      <c r="G129" t="str">
        <f>IF(Table1[[#This Row],[BMI]]&lt;18.5,"Underweight",IF(Table1[[#This Row],[BMI]]&lt;25,"Normal",IF(Table1[[#This Row],[BMI]]&lt;30,"Overweight","Obese")))</f>
        <v>Obese</v>
      </c>
      <c r="H129">
        <v>49.7</v>
      </c>
      <c r="I129">
        <v>0.32500000000000001</v>
      </c>
      <c r="J129" t="str">
        <f>IF(Table1[[#This Row],[Age]]&lt;30,"Young (&lt;30)",IF(Table1[[#This Row],[Age]]&lt;=50,"Middle Age (30-50)","Older (&gt;50)"))</f>
        <v>Middle Age (30-50)</v>
      </c>
      <c r="K129">
        <v>31</v>
      </c>
      <c r="L129">
        <v>1</v>
      </c>
    </row>
    <row r="130" spans="1:12" x14ac:dyDescent="0.3">
      <c r="A130">
        <v>1</v>
      </c>
      <c r="B130" t="str">
        <f>IF(Table1[[#This Row],[Glucose]]&lt;100,"Normal",IF(Table1[[#This Row],[Glucose]]&lt;126,"Prediabetes","High Risk"))</f>
        <v>High Risk</v>
      </c>
      <c r="C130">
        <v>163</v>
      </c>
      <c r="D130">
        <v>72</v>
      </c>
      <c r="E130">
        <v>0</v>
      </c>
      <c r="F130">
        <v>0</v>
      </c>
      <c r="G130" t="str">
        <f>IF(Table1[[#This Row],[BMI]]&lt;18.5,"Underweight",IF(Table1[[#This Row],[BMI]]&lt;25,"Normal",IF(Table1[[#This Row],[BMI]]&lt;30,"Overweight","Obese")))</f>
        <v>Obese</v>
      </c>
      <c r="H130">
        <v>39</v>
      </c>
      <c r="I130">
        <v>1.222</v>
      </c>
      <c r="J130" t="str">
        <f>IF(Table1[[#This Row],[Age]]&lt;30,"Young (&lt;30)",IF(Table1[[#This Row],[Age]]&lt;=50,"Middle Age (30-50)","Older (&gt;50)"))</f>
        <v>Middle Age (30-50)</v>
      </c>
      <c r="K130">
        <v>33</v>
      </c>
      <c r="L130">
        <v>1</v>
      </c>
    </row>
    <row r="131" spans="1:12" x14ac:dyDescent="0.3">
      <c r="A131">
        <v>1</v>
      </c>
      <c r="B131" t="str">
        <f>IF(Table1[[#This Row],[Glucose]]&lt;100,"Normal",IF(Table1[[#This Row],[Glucose]]&lt;126,"Prediabetes","High Risk"))</f>
        <v>High Risk</v>
      </c>
      <c r="C131">
        <v>151</v>
      </c>
      <c r="D131">
        <v>60</v>
      </c>
      <c r="E131">
        <v>0</v>
      </c>
      <c r="F131">
        <v>0</v>
      </c>
      <c r="G131" t="str">
        <f>IF(Table1[[#This Row],[BMI]]&lt;18.5,"Underweight",IF(Table1[[#This Row],[BMI]]&lt;25,"Normal",IF(Table1[[#This Row],[BMI]]&lt;30,"Overweight","Obese")))</f>
        <v>Overweight</v>
      </c>
      <c r="H131">
        <v>26.1</v>
      </c>
      <c r="I131">
        <v>0.17899999999999999</v>
      </c>
      <c r="J131" t="str">
        <f>IF(Table1[[#This Row],[Age]]&lt;30,"Young (&lt;30)",IF(Table1[[#This Row],[Age]]&lt;=50,"Middle Age (30-50)","Older (&gt;50)"))</f>
        <v>Young (&lt;30)</v>
      </c>
      <c r="K131">
        <v>22</v>
      </c>
      <c r="L131">
        <v>0</v>
      </c>
    </row>
    <row r="132" spans="1:12" x14ac:dyDescent="0.3">
      <c r="A132">
        <v>1</v>
      </c>
      <c r="B132" t="str">
        <f>IF(Table1[[#This Row],[Glucose]]&lt;100,"Normal",IF(Table1[[#This Row],[Glucose]]&lt;126,"Prediabetes","High Risk"))</f>
        <v>Normal</v>
      </c>
      <c r="C132">
        <v>81</v>
      </c>
      <c r="D132">
        <v>72</v>
      </c>
      <c r="E132">
        <v>18</v>
      </c>
      <c r="F132">
        <v>40</v>
      </c>
      <c r="G132" t="str">
        <f>IF(Table1[[#This Row],[BMI]]&lt;18.5,"Underweight",IF(Table1[[#This Row],[BMI]]&lt;25,"Normal",IF(Table1[[#This Row],[BMI]]&lt;30,"Overweight","Obese")))</f>
        <v>Overweight</v>
      </c>
      <c r="H132">
        <v>26.6</v>
      </c>
      <c r="I132">
        <v>0.28299999999999997</v>
      </c>
      <c r="J132" t="str">
        <f>IF(Table1[[#This Row],[Age]]&lt;30,"Young (&lt;30)",IF(Table1[[#This Row],[Age]]&lt;=50,"Middle Age (30-50)","Older (&gt;50)"))</f>
        <v>Young (&lt;30)</v>
      </c>
      <c r="K132">
        <v>24</v>
      </c>
      <c r="L132">
        <v>0</v>
      </c>
    </row>
    <row r="133" spans="1:12" x14ac:dyDescent="0.3">
      <c r="A133">
        <v>1</v>
      </c>
      <c r="B133" t="str">
        <f>IF(Table1[[#This Row],[Glucose]]&lt;100,"Normal",IF(Table1[[#This Row],[Glucose]]&lt;126,"Prediabetes","High Risk"))</f>
        <v>High Risk</v>
      </c>
      <c r="C133">
        <v>126</v>
      </c>
      <c r="D133">
        <v>56</v>
      </c>
      <c r="E133">
        <v>29</v>
      </c>
      <c r="F133">
        <v>152</v>
      </c>
      <c r="G133" t="str">
        <f>IF(Table1[[#This Row],[BMI]]&lt;18.5,"Underweight",IF(Table1[[#This Row],[BMI]]&lt;25,"Normal",IF(Table1[[#This Row],[BMI]]&lt;30,"Overweight","Obese")))</f>
        <v>Overweight</v>
      </c>
      <c r="H133">
        <v>28.7</v>
      </c>
      <c r="I133">
        <v>0.80100000000000005</v>
      </c>
      <c r="J133" t="str">
        <f>IF(Table1[[#This Row],[Age]]&lt;30,"Young (&lt;30)",IF(Table1[[#This Row],[Age]]&lt;=50,"Middle Age (30-50)","Older (&gt;50)"))</f>
        <v>Young (&lt;30)</v>
      </c>
      <c r="K133">
        <v>21</v>
      </c>
      <c r="L133">
        <v>0</v>
      </c>
    </row>
    <row r="134" spans="1:12" x14ac:dyDescent="0.3">
      <c r="A134">
        <v>1</v>
      </c>
      <c r="B134" t="str">
        <f>IF(Table1[[#This Row],[Glucose]]&lt;100,"Normal",IF(Table1[[#This Row],[Glucose]]&lt;126,"Prediabetes","High Risk"))</f>
        <v>Normal</v>
      </c>
      <c r="C134">
        <v>96</v>
      </c>
      <c r="D134">
        <v>122</v>
      </c>
      <c r="E134">
        <v>0</v>
      </c>
      <c r="F134">
        <v>0</v>
      </c>
      <c r="G134" t="str">
        <f>IF(Table1[[#This Row],[BMI]]&lt;18.5,"Underweight",IF(Table1[[#This Row],[BMI]]&lt;25,"Normal",IF(Table1[[#This Row],[BMI]]&lt;30,"Overweight","Obese")))</f>
        <v>Normal</v>
      </c>
      <c r="H134">
        <v>22.4</v>
      </c>
      <c r="I134">
        <v>0.20699999999999999</v>
      </c>
      <c r="J134" t="str">
        <f>IF(Table1[[#This Row],[Age]]&lt;30,"Young (&lt;30)",IF(Table1[[#This Row],[Age]]&lt;=50,"Middle Age (30-50)","Older (&gt;50)"))</f>
        <v>Young (&lt;30)</v>
      </c>
      <c r="K134">
        <v>27</v>
      </c>
      <c r="L134">
        <v>0</v>
      </c>
    </row>
    <row r="135" spans="1:12" x14ac:dyDescent="0.3">
      <c r="A135">
        <v>1</v>
      </c>
      <c r="B135" t="str">
        <f>IF(Table1[[#This Row],[Glucose]]&lt;100,"Normal",IF(Table1[[#This Row],[Glucose]]&lt;126,"Prediabetes","High Risk"))</f>
        <v>Normal</v>
      </c>
      <c r="C135">
        <v>89</v>
      </c>
      <c r="D135">
        <v>76</v>
      </c>
      <c r="E135">
        <v>34</v>
      </c>
      <c r="F135">
        <v>37</v>
      </c>
      <c r="G135" t="str">
        <f>IF(Table1[[#This Row],[BMI]]&lt;18.5,"Underweight",IF(Table1[[#This Row],[BMI]]&lt;25,"Normal",IF(Table1[[#This Row],[BMI]]&lt;30,"Overweight","Obese")))</f>
        <v>Obese</v>
      </c>
      <c r="H135">
        <v>31.2</v>
      </c>
      <c r="I135">
        <v>0.192</v>
      </c>
      <c r="J135" t="str">
        <f>IF(Table1[[#This Row],[Age]]&lt;30,"Young (&lt;30)",IF(Table1[[#This Row],[Age]]&lt;=50,"Middle Age (30-50)","Older (&gt;50)"))</f>
        <v>Young (&lt;30)</v>
      </c>
      <c r="K135">
        <v>23</v>
      </c>
      <c r="L135">
        <v>0</v>
      </c>
    </row>
    <row r="136" spans="1:12" x14ac:dyDescent="0.3">
      <c r="A136">
        <v>1</v>
      </c>
      <c r="B136" t="str">
        <f>IF(Table1[[#This Row],[Glucose]]&lt;100,"Normal",IF(Table1[[#This Row],[Glucose]]&lt;126,"Prediabetes","High Risk"))</f>
        <v>Normal</v>
      </c>
      <c r="C136">
        <v>88</v>
      </c>
      <c r="D136">
        <v>30</v>
      </c>
      <c r="E136">
        <v>42</v>
      </c>
      <c r="F136">
        <v>99</v>
      </c>
      <c r="G136" t="str">
        <f>IF(Table1[[#This Row],[BMI]]&lt;18.5,"Underweight",IF(Table1[[#This Row],[BMI]]&lt;25,"Normal",IF(Table1[[#This Row],[BMI]]&lt;30,"Overweight","Obese")))</f>
        <v>Obese</v>
      </c>
      <c r="H136">
        <v>55</v>
      </c>
      <c r="I136">
        <v>0.496</v>
      </c>
      <c r="J136" t="str">
        <f>IF(Table1[[#This Row],[Age]]&lt;30,"Young (&lt;30)",IF(Table1[[#This Row],[Age]]&lt;=50,"Middle Age (30-50)","Older (&gt;50)"))</f>
        <v>Young (&lt;30)</v>
      </c>
      <c r="K136">
        <v>26</v>
      </c>
      <c r="L136">
        <v>1</v>
      </c>
    </row>
    <row r="137" spans="1:12" x14ac:dyDescent="0.3">
      <c r="A137">
        <v>1</v>
      </c>
      <c r="B137" t="str">
        <f>IF(Table1[[#This Row],[Glucose]]&lt;100,"Normal",IF(Table1[[#This Row],[Glucose]]&lt;126,"Prediabetes","High Risk"))</f>
        <v>Prediabetes</v>
      </c>
      <c r="C137">
        <v>118</v>
      </c>
      <c r="D137">
        <v>58</v>
      </c>
      <c r="E137">
        <v>36</v>
      </c>
      <c r="F137">
        <v>94</v>
      </c>
      <c r="G137" t="str">
        <f>IF(Table1[[#This Row],[BMI]]&lt;18.5,"Underweight",IF(Table1[[#This Row],[BMI]]&lt;25,"Normal",IF(Table1[[#This Row],[BMI]]&lt;30,"Overweight","Obese")))</f>
        <v>Obese</v>
      </c>
      <c r="H137">
        <v>33.299999999999997</v>
      </c>
      <c r="I137">
        <v>0.26100000000000001</v>
      </c>
      <c r="J137" t="str">
        <f>IF(Table1[[#This Row],[Age]]&lt;30,"Young (&lt;30)",IF(Table1[[#This Row],[Age]]&lt;=50,"Middle Age (30-50)","Older (&gt;50)"))</f>
        <v>Young (&lt;30)</v>
      </c>
      <c r="K137">
        <v>23</v>
      </c>
      <c r="L137">
        <v>0</v>
      </c>
    </row>
    <row r="138" spans="1:12" x14ac:dyDescent="0.3">
      <c r="A138">
        <v>1</v>
      </c>
      <c r="B138" t="str">
        <f>IF(Table1[[#This Row],[Glucose]]&lt;100,"Normal",IF(Table1[[#This Row],[Glucose]]&lt;126,"Prediabetes","High Risk"))</f>
        <v>Prediabetes</v>
      </c>
      <c r="C138">
        <v>117</v>
      </c>
      <c r="D138">
        <v>88</v>
      </c>
      <c r="E138">
        <v>24</v>
      </c>
      <c r="F138">
        <v>145</v>
      </c>
      <c r="G138" t="str">
        <f>IF(Table1[[#This Row],[BMI]]&lt;18.5,"Underweight",IF(Table1[[#This Row],[BMI]]&lt;25,"Normal",IF(Table1[[#This Row],[BMI]]&lt;30,"Overweight","Obese")))</f>
        <v>Obese</v>
      </c>
      <c r="H138">
        <v>34.5</v>
      </c>
      <c r="I138">
        <v>0.40300000000000002</v>
      </c>
      <c r="J138" t="str">
        <f>IF(Table1[[#This Row],[Age]]&lt;30,"Young (&lt;30)",IF(Table1[[#This Row],[Age]]&lt;=50,"Middle Age (30-50)","Older (&gt;50)"))</f>
        <v>Middle Age (30-50)</v>
      </c>
      <c r="K138">
        <v>40</v>
      </c>
      <c r="L138">
        <v>1</v>
      </c>
    </row>
    <row r="139" spans="1:12" x14ac:dyDescent="0.3">
      <c r="A139">
        <v>1</v>
      </c>
      <c r="B139" t="str">
        <f>IF(Table1[[#This Row],[Glucose]]&lt;100,"Normal",IF(Table1[[#This Row],[Glucose]]&lt;126,"Prediabetes","High Risk"))</f>
        <v>High Risk</v>
      </c>
      <c r="C139">
        <v>136</v>
      </c>
      <c r="D139">
        <v>74</v>
      </c>
      <c r="E139">
        <v>50</v>
      </c>
      <c r="F139">
        <v>204</v>
      </c>
      <c r="G139" t="str">
        <f>IF(Table1[[#This Row],[BMI]]&lt;18.5,"Underweight",IF(Table1[[#This Row],[BMI]]&lt;25,"Normal",IF(Table1[[#This Row],[BMI]]&lt;30,"Overweight","Obese")))</f>
        <v>Obese</v>
      </c>
      <c r="H139">
        <v>37.4</v>
      </c>
      <c r="I139">
        <v>0.39900000000000002</v>
      </c>
      <c r="J139" t="str">
        <f>IF(Table1[[#This Row],[Age]]&lt;30,"Young (&lt;30)",IF(Table1[[#This Row],[Age]]&lt;=50,"Middle Age (30-50)","Older (&gt;50)"))</f>
        <v>Young (&lt;30)</v>
      </c>
      <c r="K139">
        <v>24</v>
      </c>
      <c r="L139">
        <v>0</v>
      </c>
    </row>
    <row r="140" spans="1:12" x14ac:dyDescent="0.3">
      <c r="A140">
        <v>1</v>
      </c>
      <c r="B140" t="str">
        <f>IF(Table1[[#This Row],[Glucose]]&lt;100,"Normal",IF(Table1[[#This Row],[Glucose]]&lt;126,"Prediabetes","High Risk"))</f>
        <v>High Risk</v>
      </c>
      <c r="C140">
        <v>153</v>
      </c>
      <c r="D140">
        <v>82</v>
      </c>
      <c r="E140">
        <v>42</v>
      </c>
      <c r="F140">
        <v>485</v>
      </c>
      <c r="G140" t="str">
        <f>IF(Table1[[#This Row],[BMI]]&lt;18.5,"Underweight",IF(Table1[[#This Row],[BMI]]&lt;25,"Normal",IF(Table1[[#This Row],[BMI]]&lt;30,"Overweight","Obese")))</f>
        <v>Obese</v>
      </c>
      <c r="H140">
        <v>40.6</v>
      </c>
      <c r="I140">
        <v>0.68700000000000006</v>
      </c>
      <c r="J140" t="str">
        <f>IF(Table1[[#This Row],[Age]]&lt;30,"Young (&lt;30)",IF(Table1[[#This Row],[Age]]&lt;=50,"Middle Age (30-50)","Older (&gt;50)"))</f>
        <v>Young (&lt;30)</v>
      </c>
      <c r="K140">
        <v>23</v>
      </c>
      <c r="L140">
        <v>0</v>
      </c>
    </row>
    <row r="141" spans="1:12" x14ac:dyDescent="0.3">
      <c r="A141">
        <v>1</v>
      </c>
      <c r="B141" t="str">
        <f>IF(Table1[[#This Row],[Glucose]]&lt;100,"Normal",IF(Table1[[#This Row],[Glucose]]&lt;126,"Prediabetes","High Risk"))</f>
        <v>Prediabetes</v>
      </c>
      <c r="C141">
        <v>109</v>
      </c>
      <c r="D141">
        <v>56</v>
      </c>
      <c r="E141">
        <v>21</v>
      </c>
      <c r="F141">
        <v>135</v>
      </c>
      <c r="G141" t="str">
        <f>IF(Table1[[#This Row],[BMI]]&lt;18.5,"Underweight",IF(Table1[[#This Row],[BMI]]&lt;25,"Normal",IF(Table1[[#This Row],[BMI]]&lt;30,"Overweight","Obese")))</f>
        <v>Overweight</v>
      </c>
      <c r="H141">
        <v>25.2</v>
      </c>
      <c r="I141">
        <v>0.83299999999999996</v>
      </c>
      <c r="J141" t="str">
        <f>IF(Table1[[#This Row],[Age]]&lt;30,"Young (&lt;30)",IF(Table1[[#This Row],[Age]]&lt;=50,"Middle Age (30-50)","Older (&gt;50)"))</f>
        <v>Young (&lt;30)</v>
      </c>
      <c r="K141">
        <v>23</v>
      </c>
      <c r="L141">
        <v>0</v>
      </c>
    </row>
    <row r="142" spans="1:12" x14ac:dyDescent="0.3">
      <c r="A142">
        <v>1</v>
      </c>
      <c r="B142" t="str">
        <f>IF(Table1[[#This Row],[Glucose]]&lt;100,"Normal",IF(Table1[[#This Row],[Glucose]]&lt;126,"Prediabetes","High Risk"))</f>
        <v>Normal</v>
      </c>
      <c r="C142">
        <v>79</v>
      </c>
      <c r="D142">
        <v>60</v>
      </c>
      <c r="E142">
        <v>42</v>
      </c>
      <c r="F142">
        <v>48</v>
      </c>
      <c r="G142" t="str">
        <f>IF(Table1[[#This Row],[BMI]]&lt;18.5,"Underweight",IF(Table1[[#This Row],[BMI]]&lt;25,"Normal",IF(Table1[[#This Row],[BMI]]&lt;30,"Overweight","Obese")))</f>
        <v>Obese</v>
      </c>
      <c r="H142">
        <v>43.5</v>
      </c>
      <c r="I142">
        <v>0.67800000000000005</v>
      </c>
      <c r="J142" t="str">
        <f>IF(Table1[[#This Row],[Age]]&lt;30,"Young (&lt;30)",IF(Table1[[#This Row],[Age]]&lt;=50,"Middle Age (30-50)","Older (&gt;50)"))</f>
        <v>Young (&lt;30)</v>
      </c>
      <c r="K142">
        <v>23</v>
      </c>
      <c r="L142">
        <v>0</v>
      </c>
    </row>
    <row r="143" spans="1:12" x14ac:dyDescent="0.3">
      <c r="A143">
        <v>1</v>
      </c>
      <c r="B143" t="str">
        <f>IF(Table1[[#This Row],[Glucose]]&lt;100,"Normal",IF(Table1[[#This Row],[Glucose]]&lt;126,"Prediabetes","High Risk"))</f>
        <v>Normal</v>
      </c>
      <c r="C143">
        <v>0</v>
      </c>
      <c r="D143">
        <v>74</v>
      </c>
      <c r="E143">
        <v>20</v>
      </c>
      <c r="F143">
        <v>23</v>
      </c>
      <c r="G143" t="str">
        <f>IF(Table1[[#This Row],[BMI]]&lt;18.5,"Underweight",IF(Table1[[#This Row],[BMI]]&lt;25,"Normal",IF(Table1[[#This Row],[BMI]]&lt;30,"Overweight","Obese")))</f>
        <v>Overweight</v>
      </c>
      <c r="H143">
        <v>27.7</v>
      </c>
      <c r="I143">
        <v>0.29899999999999999</v>
      </c>
      <c r="J143" t="str">
        <f>IF(Table1[[#This Row],[Age]]&lt;30,"Young (&lt;30)",IF(Table1[[#This Row],[Age]]&lt;=50,"Middle Age (30-50)","Older (&gt;50)"))</f>
        <v>Young (&lt;30)</v>
      </c>
      <c r="K143">
        <v>21</v>
      </c>
      <c r="L143">
        <v>0</v>
      </c>
    </row>
    <row r="144" spans="1:12" x14ac:dyDescent="0.3">
      <c r="A144">
        <v>1</v>
      </c>
      <c r="B144" t="str">
        <f>IF(Table1[[#This Row],[Glucose]]&lt;100,"Normal",IF(Table1[[#This Row],[Glucose]]&lt;126,"Prediabetes","High Risk"))</f>
        <v>High Risk</v>
      </c>
      <c r="C144">
        <v>128</v>
      </c>
      <c r="D144">
        <v>98</v>
      </c>
      <c r="E144">
        <v>41</v>
      </c>
      <c r="F144">
        <v>58</v>
      </c>
      <c r="G144" t="str">
        <f>IF(Table1[[#This Row],[BMI]]&lt;18.5,"Underweight",IF(Table1[[#This Row],[BMI]]&lt;25,"Normal",IF(Table1[[#This Row],[BMI]]&lt;30,"Overweight","Obese")))</f>
        <v>Obese</v>
      </c>
      <c r="H144">
        <v>32</v>
      </c>
      <c r="I144">
        <v>1.321</v>
      </c>
      <c r="J144" t="str">
        <f>IF(Table1[[#This Row],[Age]]&lt;30,"Young (&lt;30)",IF(Table1[[#This Row],[Age]]&lt;=50,"Middle Age (30-50)","Older (&gt;50)"))</f>
        <v>Middle Age (30-50)</v>
      </c>
      <c r="K144">
        <v>33</v>
      </c>
      <c r="L144">
        <v>1</v>
      </c>
    </row>
    <row r="145" spans="1:12" x14ac:dyDescent="0.3">
      <c r="A145">
        <v>1</v>
      </c>
      <c r="B145" t="str">
        <f>IF(Table1[[#This Row],[Glucose]]&lt;100,"Normal",IF(Table1[[#This Row],[Glucose]]&lt;126,"Prediabetes","High Risk"))</f>
        <v>Prediabetes</v>
      </c>
      <c r="C145">
        <v>105</v>
      </c>
      <c r="D145">
        <v>58</v>
      </c>
      <c r="E145">
        <v>0</v>
      </c>
      <c r="F145">
        <v>0</v>
      </c>
      <c r="G145" t="str">
        <f>IF(Table1[[#This Row],[BMI]]&lt;18.5,"Underweight",IF(Table1[[#This Row],[BMI]]&lt;25,"Normal",IF(Table1[[#This Row],[BMI]]&lt;30,"Overweight","Obese")))</f>
        <v>Normal</v>
      </c>
      <c r="H145">
        <v>24.3</v>
      </c>
      <c r="I145">
        <v>0.187</v>
      </c>
      <c r="J145" t="str">
        <f>IF(Table1[[#This Row],[Age]]&lt;30,"Young (&lt;30)",IF(Table1[[#This Row],[Age]]&lt;=50,"Middle Age (30-50)","Older (&gt;50)"))</f>
        <v>Young (&lt;30)</v>
      </c>
      <c r="K145">
        <v>21</v>
      </c>
      <c r="L145">
        <v>0</v>
      </c>
    </row>
    <row r="146" spans="1:12" x14ac:dyDescent="0.3">
      <c r="A146">
        <v>1</v>
      </c>
      <c r="B146" t="str">
        <f>IF(Table1[[#This Row],[Glucose]]&lt;100,"Normal",IF(Table1[[#This Row],[Glucose]]&lt;126,"Prediabetes","High Risk"))</f>
        <v>High Risk</v>
      </c>
      <c r="C146">
        <v>138</v>
      </c>
      <c r="D146">
        <v>82</v>
      </c>
      <c r="E146">
        <v>0</v>
      </c>
      <c r="F146">
        <v>0</v>
      </c>
      <c r="G146" t="str">
        <f>IF(Table1[[#This Row],[BMI]]&lt;18.5,"Underweight",IF(Table1[[#This Row],[BMI]]&lt;25,"Normal",IF(Table1[[#This Row],[BMI]]&lt;30,"Overweight","Obese")))</f>
        <v>Obese</v>
      </c>
      <c r="H146">
        <v>40.1</v>
      </c>
      <c r="I146">
        <v>0.23599999999999999</v>
      </c>
      <c r="J146" t="str">
        <f>IF(Table1[[#This Row],[Age]]&lt;30,"Young (&lt;30)",IF(Table1[[#This Row],[Age]]&lt;=50,"Middle Age (30-50)","Older (&gt;50)"))</f>
        <v>Young (&lt;30)</v>
      </c>
      <c r="K146">
        <v>28</v>
      </c>
      <c r="L146">
        <v>0</v>
      </c>
    </row>
    <row r="147" spans="1:12" x14ac:dyDescent="0.3">
      <c r="A147">
        <v>1</v>
      </c>
      <c r="B147" t="str">
        <f>IF(Table1[[#This Row],[Glucose]]&lt;100,"Normal",IF(Table1[[#This Row],[Glucose]]&lt;126,"Prediabetes","High Risk"))</f>
        <v>Normal</v>
      </c>
      <c r="C147">
        <v>96</v>
      </c>
      <c r="D147">
        <v>64</v>
      </c>
      <c r="E147">
        <v>27</v>
      </c>
      <c r="F147">
        <v>87</v>
      </c>
      <c r="G147" t="str">
        <f>IF(Table1[[#This Row],[BMI]]&lt;18.5,"Underweight",IF(Table1[[#This Row],[BMI]]&lt;25,"Normal",IF(Table1[[#This Row],[BMI]]&lt;30,"Overweight","Obese")))</f>
        <v>Obese</v>
      </c>
      <c r="H147">
        <v>33.200000000000003</v>
      </c>
      <c r="I147">
        <v>0.28899999999999998</v>
      </c>
      <c r="J147" t="str">
        <f>IF(Table1[[#This Row],[Age]]&lt;30,"Young (&lt;30)",IF(Table1[[#This Row],[Age]]&lt;=50,"Middle Age (30-50)","Older (&gt;50)"))</f>
        <v>Young (&lt;30)</v>
      </c>
      <c r="K147">
        <v>21</v>
      </c>
      <c r="L147">
        <v>0</v>
      </c>
    </row>
    <row r="148" spans="1:12" x14ac:dyDescent="0.3">
      <c r="A148">
        <v>1</v>
      </c>
      <c r="B148" t="str">
        <f>IF(Table1[[#This Row],[Glucose]]&lt;100,"Normal",IF(Table1[[#This Row],[Glucose]]&lt;126,"Prediabetes","High Risk"))</f>
        <v>Prediabetes</v>
      </c>
      <c r="C148">
        <v>100</v>
      </c>
      <c r="D148">
        <v>66</v>
      </c>
      <c r="E148">
        <v>15</v>
      </c>
      <c r="F148">
        <v>56</v>
      </c>
      <c r="G148" t="str">
        <f>IF(Table1[[#This Row],[BMI]]&lt;18.5,"Underweight",IF(Table1[[#This Row],[BMI]]&lt;25,"Normal",IF(Table1[[#This Row],[BMI]]&lt;30,"Overweight","Obese")))</f>
        <v>Normal</v>
      </c>
      <c r="H148">
        <v>23.6</v>
      </c>
      <c r="I148">
        <v>0.66600000000000004</v>
      </c>
      <c r="J148" t="str">
        <f>IF(Table1[[#This Row],[Age]]&lt;30,"Young (&lt;30)",IF(Table1[[#This Row],[Age]]&lt;=50,"Middle Age (30-50)","Older (&gt;50)"))</f>
        <v>Young (&lt;30)</v>
      </c>
      <c r="K148">
        <v>26</v>
      </c>
      <c r="L148">
        <v>0</v>
      </c>
    </row>
    <row r="149" spans="1:12" x14ac:dyDescent="0.3">
      <c r="A149">
        <v>1</v>
      </c>
      <c r="B149" t="str">
        <f>IF(Table1[[#This Row],[Glucose]]&lt;100,"Normal",IF(Table1[[#This Row],[Glucose]]&lt;126,"Prediabetes","High Risk"))</f>
        <v>Normal</v>
      </c>
      <c r="C149">
        <v>87</v>
      </c>
      <c r="D149">
        <v>78</v>
      </c>
      <c r="E149">
        <v>27</v>
      </c>
      <c r="F149">
        <v>32</v>
      </c>
      <c r="G149" t="str">
        <f>IF(Table1[[#This Row],[BMI]]&lt;18.5,"Underweight",IF(Table1[[#This Row],[BMI]]&lt;25,"Normal",IF(Table1[[#This Row],[BMI]]&lt;30,"Overweight","Obese")))</f>
        <v>Obese</v>
      </c>
      <c r="H149">
        <v>34.6</v>
      </c>
      <c r="I149">
        <v>0.10100000000000001</v>
      </c>
      <c r="J149" t="str">
        <f>IF(Table1[[#This Row],[Age]]&lt;30,"Young (&lt;30)",IF(Table1[[#This Row],[Age]]&lt;=50,"Middle Age (30-50)","Older (&gt;50)"))</f>
        <v>Young (&lt;30)</v>
      </c>
      <c r="K149">
        <v>22</v>
      </c>
      <c r="L149">
        <v>0</v>
      </c>
    </row>
    <row r="150" spans="1:12" x14ac:dyDescent="0.3">
      <c r="A150">
        <v>1</v>
      </c>
      <c r="B150" t="str">
        <f>IF(Table1[[#This Row],[Glucose]]&lt;100,"Normal",IF(Table1[[#This Row],[Glucose]]&lt;126,"Prediabetes","High Risk"))</f>
        <v>Normal</v>
      </c>
      <c r="C150">
        <v>79</v>
      </c>
      <c r="D150">
        <v>80</v>
      </c>
      <c r="E150">
        <v>25</v>
      </c>
      <c r="F150">
        <v>37</v>
      </c>
      <c r="G150" t="str">
        <f>IF(Table1[[#This Row],[BMI]]&lt;18.5,"Underweight",IF(Table1[[#This Row],[BMI]]&lt;25,"Normal",IF(Table1[[#This Row],[BMI]]&lt;30,"Overweight","Obese")))</f>
        <v>Overweight</v>
      </c>
      <c r="H150">
        <v>25.4</v>
      </c>
      <c r="I150">
        <v>0.58299999999999996</v>
      </c>
      <c r="J150" t="str">
        <f>IF(Table1[[#This Row],[Age]]&lt;30,"Young (&lt;30)",IF(Table1[[#This Row],[Age]]&lt;=50,"Middle Age (30-50)","Older (&gt;50)"))</f>
        <v>Young (&lt;30)</v>
      </c>
      <c r="K150">
        <v>22</v>
      </c>
      <c r="L150">
        <v>0</v>
      </c>
    </row>
    <row r="151" spans="1:12" x14ac:dyDescent="0.3">
      <c r="A151">
        <v>1</v>
      </c>
      <c r="B151" t="str">
        <f>IF(Table1[[#This Row],[Glucose]]&lt;100,"Normal",IF(Table1[[#This Row],[Glucose]]&lt;126,"Prediabetes","High Risk"))</f>
        <v>Normal</v>
      </c>
      <c r="C151">
        <v>91</v>
      </c>
      <c r="D151">
        <v>64</v>
      </c>
      <c r="E151">
        <v>24</v>
      </c>
      <c r="F151">
        <v>0</v>
      </c>
      <c r="G151" t="str">
        <f>IF(Table1[[#This Row],[BMI]]&lt;18.5,"Underweight",IF(Table1[[#This Row],[BMI]]&lt;25,"Normal",IF(Table1[[#This Row],[BMI]]&lt;30,"Overweight","Obese")))</f>
        <v>Overweight</v>
      </c>
      <c r="H151">
        <v>29.2</v>
      </c>
      <c r="I151">
        <v>0.192</v>
      </c>
      <c r="J151" t="str">
        <f>IF(Table1[[#This Row],[Age]]&lt;30,"Young (&lt;30)",IF(Table1[[#This Row],[Age]]&lt;=50,"Middle Age (30-50)","Older (&gt;50)"))</f>
        <v>Young (&lt;30)</v>
      </c>
      <c r="K151">
        <v>21</v>
      </c>
      <c r="L151">
        <v>0</v>
      </c>
    </row>
    <row r="152" spans="1:12" x14ac:dyDescent="0.3">
      <c r="A152">
        <v>1</v>
      </c>
      <c r="B152" t="str">
        <f>IF(Table1[[#This Row],[Glucose]]&lt;100,"Normal",IF(Table1[[#This Row],[Glucose]]&lt;126,"Prediabetes","High Risk"))</f>
        <v>Prediabetes</v>
      </c>
      <c r="C152">
        <v>111</v>
      </c>
      <c r="D152">
        <v>86</v>
      </c>
      <c r="E152">
        <v>19</v>
      </c>
      <c r="F152">
        <v>0</v>
      </c>
      <c r="G152" t="str">
        <f>IF(Table1[[#This Row],[BMI]]&lt;18.5,"Underweight",IF(Table1[[#This Row],[BMI]]&lt;25,"Normal",IF(Table1[[#This Row],[BMI]]&lt;30,"Overweight","Obese")))</f>
        <v>Obese</v>
      </c>
      <c r="H152">
        <v>30.1</v>
      </c>
      <c r="I152">
        <v>0.14299999999999999</v>
      </c>
      <c r="J152" t="str">
        <f>IF(Table1[[#This Row],[Age]]&lt;30,"Young (&lt;30)",IF(Table1[[#This Row],[Age]]&lt;=50,"Middle Age (30-50)","Older (&gt;50)"))</f>
        <v>Young (&lt;30)</v>
      </c>
      <c r="K152">
        <v>23</v>
      </c>
      <c r="L152">
        <v>0</v>
      </c>
    </row>
    <row r="153" spans="1:12" x14ac:dyDescent="0.3">
      <c r="A153">
        <v>1</v>
      </c>
      <c r="B153" t="str">
        <f>IF(Table1[[#This Row],[Glucose]]&lt;100,"Normal",IF(Table1[[#This Row],[Glucose]]&lt;126,"Prediabetes","High Risk"))</f>
        <v>Prediabetes</v>
      </c>
      <c r="C153">
        <v>113</v>
      </c>
      <c r="D153">
        <v>64</v>
      </c>
      <c r="E153">
        <v>35</v>
      </c>
      <c r="F153">
        <v>0</v>
      </c>
      <c r="G153" t="str">
        <f>IF(Table1[[#This Row],[BMI]]&lt;18.5,"Underweight",IF(Table1[[#This Row],[BMI]]&lt;25,"Normal",IF(Table1[[#This Row],[BMI]]&lt;30,"Overweight","Obese")))</f>
        <v>Obese</v>
      </c>
      <c r="H153">
        <v>33.6</v>
      </c>
      <c r="I153">
        <v>0.54300000000000004</v>
      </c>
      <c r="J153" t="str">
        <f>IF(Table1[[#This Row],[Age]]&lt;30,"Young (&lt;30)",IF(Table1[[#This Row],[Age]]&lt;=50,"Middle Age (30-50)","Older (&gt;50)"))</f>
        <v>Young (&lt;30)</v>
      </c>
      <c r="K153">
        <v>21</v>
      </c>
      <c r="L153">
        <v>1</v>
      </c>
    </row>
    <row r="154" spans="1:12" x14ac:dyDescent="0.3">
      <c r="A154">
        <v>1</v>
      </c>
      <c r="B154" t="str">
        <f>IF(Table1[[#This Row],[Glucose]]&lt;100,"Normal",IF(Table1[[#This Row],[Glucose]]&lt;126,"Prediabetes","High Risk"))</f>
        <v>High Risk</v>
      </c>
      <c r="C154">
        <v>193</v>
      </c>
      <c r="D154">
        <v>50</v>
      </c>
      <c r="E154">
        <v>16</v>
      </c>
      <c r="F154">
        <v>375</v>
      </c>
      <c r="G154" t="str">
        <f>IF(Table1[[#This Row],[BMI]]&lt;18.5,"Underweight",IF(Table1[[#This Row],[BMI]]&lt;25,"Normal",IF(Table1[[#This Row],[BMI]]&lt;30,"Overweight","Obese")))</f>
        <v>Overweight</v>
      </c>
      <c r="H154">
        <v>25.9</v>
      </c>
      <c r="I154">
        <v>0.65500000000000003</v>
      </c>
      <c r="J154" t="str">
        <f>IF(Table1[[#This Row],[Age]]&lt;30,"Young (&lt;30)",IF(Table1[[#This Row],[Age]]&lt;=50,"Middle Age (30-50)","Older (&gt;50)"))</f>
        <v>Young (&lt;30)</v>
      </c>
      <c r="K154">
        <v>24</v>
      </c>
      <c r="L154">
        <v>0</v>
      </c>
    </row>
    <row r="155" spans="1:12" x14ac:dyDescent="0.3">
      <c r="A155">
        <v>1</v>
      </c>
      <c r="B155" t="str">
        <f>IF(Table1[[#This Row],[Glucose]]&lt;100,"Normal",IF(Table1[[#This Row],[Glucose]]&lt;126,"Prediabetes","High Risk"))</f>
        <v>Normal</v>
      </c>
      <c r="C155">
        <v>71</v>
      </c>
      <c r="D155">
        <v>78</v>
      </c>
      <c r="E155">
        <v>50</v>
      </c>
      <c r="F155">
        <v>45</v>
      </c>
      <c r="G155" t="str">
        <f>IF(Table1[[#This Row],[BMI]]&lt;18.5,"Underweight",IF(Table1[[#This Row],[BMI]]&lt;25,"Normal",IF(Table1[[#This Row],[BMI]]&lt;30,"Overweight","Obese")))</f>
        <v>Obese</v>
      </c>
      <c r="H155">
        <v>33.200000000000003</v>
      </c>
      <c r="I155">
        <v>0.42199999999999999</v>
      </c>
      <c r="J155" t="str">
        <f>IF(Table1[[#This Row],[Age]]&lt;30,"Young (&lt;30)",IF(Table1[[#This Row],[Age]]&lt;=50,"Middle Age (30-50)","Older (&gt;50)"))</f>
        <v>Young (&lt;30)</v>
      </c>
      <c r="K155">
        <v>21</v>
      </c>
      <c r="L155">
        <v>0</v>
      </c>
    </row>
    <row r="156" spans="1:12" x14ac:dyDescent="0.3">
      <c r="A156">
        <v>1</v>
      </c>
      <c r="B156" t="str">
        <f>IF(Table1[[#This Row],[Glucose]]&lt;100,"Normal",IF(Table1[[#This Row],[Glucose]]&lt;126,"Prediabetes","High Risk"))</f>
        <v>Prediabetes</v>
      </c>
      <c r="C156">
        <v>119</v>
      </c>
      <c r="D156">
        <v>86</v>
      </c>
      <c r="E156">
        <v>39</v>
      </c>
      <c r="F156">
        <v>220</v>
      </c>
      <c r="G156" t="str">
        <f>IF(Table1[[#This Row],[BMI]]&lt;18.5,"Underweight",IF(Table1[[#This Row],[BMI]]&lt;25,"Normal",IF(Table1[[#This Row],[BMI]]&lt;30,"Overweight","Obese")))</f>
        <v>Obese</v>
      </c>
      <c r="H156">
        <v>45.6</v>
      </c>
      <c r="I156">
        <v>0.80800000000000005</v>
      </c>
      <c r="J156" t="str">
        <f>IF(Table1[[#This Row],[Age]]&lt;30,"Young (&lt;30)",IF(Table1[[#This Row],[Age]]&lt;=50,"Middle Age (30-50)","Older (&gt;50)"))</f>
        <v>Young (&lt;30)</v>
      </c>
      <c r="K156">
        <v>29</v>
      </c>
      <c r="L156">
        <v>1</v>
      </c>
    </row>
    <row r="157" spans="1:12" x14ac:dyDescent="0.3">
      <c r="A157">
        <v>1</v>
      </c>
      <c r="B157" t="str">
        <f>IF(Table1[[#This Row],[Glucose]]&lt;100,"Normal",IF(Table1[[#This Row],[Glucose]]&lt;126,"Prediabetes","High Risk"))</f>
        <v>High Risk</v>
      </c>
      <c r="C157">
        <v>128</v>
      </c>
      <c r="D157">
        <v>48</v>
      </c>
      <c r="E157">
        <v>45</v>
      </c>
      <c r="F157">
        <v>194</v>
      </c>
      <c r="G157" t="str">
        <f>IF(Table1[[#This Row],[BMI]]&lt;18.5,"Underweight",IF(Table1[[#This Row],[BMI]]&lt;25,"Normal",IF(Table1[[#This Row],[BMI]]&lt;30,"Overweight","Obese")))</f>
        <v>Obese</v>
      </c>
      <c r="H157">
        <v>40.5</v>
      </c>
      <c r="I157">
        <v>0.61299999999999999</v>
      </c>
      <c r="J157" t="str">
        <f>IF(Table1[[#This Row],[Age]]&lt;30,"Young (&lt;30)",IF(Table1[[#This Row],[Age]]&lt;=50,"Middle Age (30-50)","Older (&gt;50)"))</f>
        <v>Young (&lt;30)</v>
      </c>
      <c r="K157">
        <v>24</v>
      </c>
      <c r="L157">
        <v>1</v>
      </c>
    </row>
    <row r="158" spans="1:12" x14ac:dyDescent="0.3">
      <c r="A158">
        <v>1</v>
      </c>
      <c r="B158" t="str">
        <f>IF(Table1[[#This Row],[Glucose]]&lt;100,"Normal",IF(Table1[[#This Row],[Glucose]]&lt;126,"Prediabetes","High Risk"))</f>
        <v>High Risk</v>
      </c>
      <c r="C158">
        <v>157</v>
      </c>
      <c r="D158">
        <v>72</v>
      </c>
      <c r="E158">
        <v>21</v>
      </c>
      <c r="F158">
        <v>168</v>
      </c>
      <c r="G158" t="str">
        <f>IF(Table1[[#This Row],[BMI]]&lt;18.5,"Underweight",IF(Table1[[#This Row],[BMI]]&lt;25,"Normal",IF(Table1[[#This Row],[BMI]]&lt;30,"Overweight","Obese")))</f>
        <v>Overweight</v>
      </c>
      <c r="H158">
        <v>25.6</v>
      </c>
      <c r="I158">
        <v>0.123</v>
      </c>
      <c r="J158" t="str">
        <f>IF(Table1[[#This Row],[Age]]&lt;30,"Young (&lt;30)",IF(Table1[[#This Row],[Age]]&lt;=50,"Middle Age (30-50)","Older (&gt;50)"))</f>
        <v>Young (&lt;30)</v>
      </c>
      <c r="K158">
        <v>24</v>
      </c>
      <c r="L158">
        <v>0</v>
      </c>
    </row>
    <row r="159" spans="1:12" x14ac:dyDescent="0.3">
      <c r="A159">
        <v>1</v>
      </c>
      <c r="B159" t="str">
        <f>IF(Table1[[#This Row],[Glucose]]&lt;100,"Normal",IF(Table1[[#This Row],[Glucose]]&lt;126,"Prediabetes","High Risk"))</f>
        <v>Prediabetes</v>
      </c>
      <c r="C159">
        <v>122</v>
      </c>
      <c r="D159">
        <v>64</v>
      </c>
      <c r="E159">
        <v>32</v>
      </c>
      <c r="F159">
        <v>156</v>
      </c>
      <c r="G159" t="str">
        <f>IF(Table1[[#This Row],[BMI]]&lt;18.5,"Underweight",IF(Table1[[#This Row],[BMI]]&lt;25,"Normal",IF(Table1[[#This Row],[BMI]]&lt;30,"Overweight","Obese")))</f>
        <v>Obese</v>
      </c>
      <c r="H159">
        <v>35.1</v>
      </c>
      <c r="I159">
        <v>0.69199999999999995</v>
      </c>
      <c r="J159" t="str">
        <f>IF(Table1[[#This Row],[Age]]&lt;30,"Young (&lt;30)",IF(Table1[[#This Row],[Age]]&lt;=50,"Middle Age (30-50)","Older (&gt;50)"))</f>
        <v>Middle Age (30-50)</v>
      </c>
      <c r="K159">
        <v>30</v>
      </c>
      <c r="L159">
        <v>1</v>
      </c>
    </row>
    <row r="160" spans="1:12" x14ac:dyDescent="0.3">
      <c r="A160">
        <v>1</v>
      </c>
      <c r="B160" t="str">
        <f>IF(Table1[[#This Row],[Glucose]]&lt;100,"Normal",IF(Table1[[#This Row],[Glucose]]&lt;126,"Prediabetes","High Risk"))</f>
        <v>High Risk</v>
      </c>
      <c r="C160">
        <v>180</v>
      </c>
      <c r="D160">
        <v>0</v>
      </c>
      <c r="E160">
        <v>0</v>
      </c>
      <c r="F160">
        <v>0</v>
      </c>
      <c r="G160" t="str">
        <f>IF(Table1[[#This Row],[BMI]]&lt;18.5,"Underweight",IF(Table1[[#This Row],[BMI]]&lt;25,"Normal",IF(Table1[[#This Row],[BMI]]&lt;30,"Overweight","Obese")))</f>
        <v>Obese</v>
      </c>
      <c r="H160">
        <v>43.3</v>
      </c>
      <c r="I160">
        <v>0.28199999999999997</v>
      </c>
      <c r="J160" t="str">
        <f>IF(Table1[[#This Row],[Age]]&lt;30,"Young (&lt;30)",IF(Table1[[#This Row],[Age]]&lt;=50,"Middle Age (30-50)","Older (&gt;50)"))</f>
        <v>Middle Age (30-50)</v>
      </c>
      <c r="K160">
        <v>41</v>
      </c>
      <c r="L160">
        <v>1</v>
      </c>
    </row>
    <row r="161" spans="1:12" x14ac:dyDescent="0.3">
      <c r="A161">
        <v>1</v>
      </c>
      <c r="B161" t="str">
        <f>IF(Table1[[#This Row],[Glucose]]&lt;100,"Normal",IF(Table1[[#This Row],[Glucose]]&lt;126,"Prediabetes","High Risk"))</f>
        <v>Normal</v>
      </c>
      <c r="C161">
        <v>95</v>
      </c>
      <c r="D161">
        <v>60</v>
      </c>
      <c r="E161">
        <v>18</v>
      </c>
      <c r="F161">
        <v>58</v>
      </c>
      <c r="G161" t="str">
        <f>IF(Table1[[#This Row],[BMI]]&lt;18.5,"Underweight",IF(Table1[[#This Row],[BMI]]&lt;25,"Normal",IF(Table1[[#This Row],[BMI]]&lt;30,"Overweight","Obese")))</f>
        <v>Normal</v>
      </c>
      <c r="H161">
        <v>23.9</v>
      </c>
      <c r="I161">
        <v>0.26</v>
      </c>
      <c r="J161" t="str">
        <f>IF(Table1[[#This Row],[Age]]&lt;30,"Young (&lt;30)",IF(Table1[[#This Row],[Age]]&lt;=50,"Middle Age (30-50)","Older (&gt;50)"))</f>
        <v>Young (&lt;30)</v>
      </c>
      <c r="K161">
        <v>22</v>
      </c>
      <c r="L161">
        <v>0</v>
      </c>
    </row>
    <row r="162" spans="1:12" x14ac:dyDescent="0.3">
      <c r="A162">
        <v>1</v>
      </c>
      <c r="B162" t="str">
        <f>IF(Table1[[#This Row],[Glucose]]&lt;100,"Normal",IF(Table1[[#This Row],[Glucose]]&lt;126,"Prediabetes","High Risk"))</f>
        <v>High Risk</v>
      </c>
      <c r="C162">
        <v>130</v>
      </c>
      <c r="D162">
        <v>70</v>
      </c>
      <c r="E162">
        <v>13</v>
      </c>
      <c r="F162">
        <v>105</v>
      </c>
      <c r="G162" t="str">
        <f>IF(Table1[[#This Row],[BMI]]&lt;18.5,"Underweight",IF(Table1[[#This Row],[BMI]]&lt;25,"Normal",IF(Table1[[#This Row],[BMI]]&lt;30,"Overweight","Obese")))</f>
        <v>Overweight</v>
      </c>
      <c r="H162">
        <v>25.9</v>
      </c>
      <c r="I162">
        <v>0.47199999999999998</v>
      </c>
      <c r="J162" t="str">
        <f>IF(Table1[[#This Row],[Age]]&lt;30,"Young (&lt;30)",IF(Table1[[#This Row],[Age]]&lt;=50,"Middle Age (30-50)","Older (&gt;50)"))</f>
        <v>Young (&lt;30)</v>
      </c>
      <c r="K162">
        <v>22</v>
      </c>
      <c r="L162">
        <v>0</v>
      </c>
    </row>
    <row r="163" spans="1:12" x14ac:dyDescent="0.3">
      <c r="A163">
        <v>1</v>
      </c>
      <c r="B163" t="str">
        <f>IF(Table1[[#This Row],[Glucose]]&lt;100,"Normal",IF(Table1[[#This Row],[Glucose]]&lt;126,"Prediabetes","High Risk"))</f>
        <v>Normal</v>
      </c>
      <c r="C163">
        <v>95</v>
      </c>
      <c r="D163">
        <v>74</v>
      </c>
      <c r="E163">
        <v>21</v>
      </c>
      <c r="F163">
        <v>73</v>
      </c>
      <c r="G163" t="str">
        <f>IF(Table1[[#This Row],[BMI]]&lt;18.5,"Underweight",IF(Table1[[#This Row],[BMI]]&lt;25,"Normal",IF(Table1[[#This Row],[BMI]]&lt;30,"Overweight","Obese")))</f>
        <v>Overweight</v>
      </c>
      <c r="H163">
        <v>25.9</v>
      </c>
      <c r="I163">
        <v>0.67300000000000004</v>
      </c>
      <c r="J163" t="str">
        <f>IF(Table1[[#This Row],[Age]]&lt;30,"Young (&lt;30)",IF(Table1[[#This Row],[Age]]&lt;=50,"Middle Age (30-50)","Older (&gt;50)"))</f>
        <v>Middle Age (30-50)</v>
      </c>
      <c r="K163">
        <v>36</v>
      </c>
      <c r="L163">
        <v>0</v>
      </c>
    </row>
    <row r="164" spans="1:12" x14ac:dyDescent="0.3">
      <c r="A164">
        <v>1</v>
      </c>
      <c r="B164" t="str">
        <f>IF(Table1[[#This Row],[Glucose]]&lt;100,"Normal",IF(Table1[[#This Row],[Glucose]]&lt;126,"Prediabetes","High Risk"))</f>
        <v>Normal</v>
      </c>
      <c r="C164">
        <v>0</v>
      </c>
      <c r="D164">
        <v>68</v>
      </c>
      <c r="E164">
        <v>35</v>
      </c>
      <c r="F164">
        <v>0</v>
      </c>
      <c r="G164" t="str">
        <f>IF(Table1[[#This Row],[BMI]]&lt;18.5,"Underweight",IF(Table1[[#This Row],[BMI]]&lt;25,"Normal",IF(Table1[[#This Row],[BMI]]&lt;30,"Overweight","Obese")))</f>
        <v>Obese</v>
      </c>
      <c r="H164">
        <v>32</v>
      </c>
      <c r="I164">
        <v>0.38900000000000001</v>
      </c>
      <c r="J164" t="str">
        <f>IF(Table1[[#This Row],[Age]]&lt;30,"Young (&lt;30)",IF(Table1[[#This Row],[Age]]&lt;=50,"Middle Age (30-50)","Older (&gt;50)"))</f>
        <v>Young (&lt;30)</v>
      </c>
      <c r="K164">
        <v>22</v>
      </c>
      <c r="L164">
        <v>0</v>
      </c>
    </row>
    <row r="165" spans="1:12" x14ac:dyDescent="0.3">
      <c r="A165">
        <v>1</v>
      </c>
      <c r="B165" t="str">
        <f>IF(Table1[[#This Row],[Glucose]]&lt;100,"Normal",IF(Table1[[#This Row],[Glucose]]&lt;126,"Prediabetes","High Risk"))</f>
        <v>High Risk</v>
      </c>
      <c r="C165">
        <v>139</v>
      </c>
      <c r="D165">
        <v>46</v>
      </c>
      <c r="E165">
        <v>19</v>
      </c>
      <c r="F165">
        <v>83</v>
      </c>
      <c r="G165" t="str">
        <f>IF(Table1[[#This Row],[BMI]]&lt;18.5,"Underweight",IF(Table1[[#This Row],[BMI]]&lt;25,"Normal",IF(Table1[[#This Row],[BMI]]&lt;30,"Overweight","Obese")))</f>
        <v>Overweight</v>
      </c>
      <c r="H165">
        <v>28.7</v>
      </c>
      <c r="I165">
        <v>0.65400000000000003</v>
      </c>
      <c r="J165" t="str">
        <f>IF(Table1[[#This Row],[Age]]&lt;30,"Young (&lt;30)",IF(Table1[[#This Row],[Age]]&lt;=50,"Middle Age (30-50)","Older (&gt;50)"))</f>
        <v>Young (&lt;30)</v>
      </c>
      <c r="K165">
        <v>22</v>
      </c>
      <c r="L165">
        <v>0</v>
      </c>
    </row>
    <row r="166" spans="1:12" x14ac:dyDescent="0.3">
      <c r="A166">
        <v>1</v>
      </c>
      <c r="B166" t="str">
        <f>IF(Table1[[#This Row],[Glucose]]&lt;100,"Normal",IF(Table1[[#This Row],[Glucose]]&lt;126,"Prediabetes","High Risk"))</f>
        <v>Normal</v>
      </c>
      <c r="C166">
        <v>90</v>
      </c>
      <c r="D166">
        <v>62</v>
      </c>
      <c r="E166">
        <v>12</v>
      </c>
      <c r="F166">
        <v>43</v>
      </c>
      <c r="G166" t="str">
        <f>IF(Table1[[#This Row],[BMI]]&lt;18.5,"Underweight",IF(Table1[[#This Row],[BMI]]&lt;25,"Normal",IF(Table1[[#This Row],[BMI]]&lt;30,"Overweight","Obese")))</f>
        <v>Overweight</v>
      </c>
      <c r="H166">
        <v>27.2</v>
      </c>
      <c r="I166">
        <v>0.57999999999999996</v>
      </c>
      <c r="J166" t="str">
        <f>IF(Table1[[#This Row],[Age]]&lt;30,"Young (&lt;30)",IF(Table1[[#This Row],[Age]]&lt;=50,"Middle Age (30-50)","Older (&gt;50)"))</f>
        <v>Young (&lt;30)</v>
      </c>
      <c r="K166">
        <v>24</v>
      </c>
      <c r="L166">
        <v>0</v>
      </c>
    </row>
    <row r="167" spans="1:12" x14ac:dyDescent="0.3">
      <c r="A167">
        <v>1</v>
      </c>
      <c r="B167" t="str">
        <f>IF(Table1[[#This Row],[Glucose]]&lt;100,"Normal",IF(Table1[[#This Row],[Glucose]]&lt;126,"Prediabetes","High Risk"))</f>
        <v>Prediabetes</v>
      </c>
      <c r="C167">
        <v>125</v>
      </c>
      <c r="D167">
        <v>50</v>
      </c>
      <c r="E167">
        <v>40</v>
      </c>
      <c r="F167">
        <v>167</v>
      </c>
      <c r="G167" t="str">
        <f>IF(Table1[[#This Row],[BMI]]&lt;18.5,"Underweight",IF(Table1[[#This Row],[BMI]]&lt;25,"Normal",IF(Table1[[#This Row],[BMI]]&lt;30,"Overweight","Obese")))</f>
        <v>Obese</v>
      </c>
      <c r="H167">
        <v>33.299999999999997</v>
      </c>
      <c r="I167">
        <v>0.96199999999999997</v>
      </c>
      <c r="J167" t="str">
        <f>IF(Table1[[#This Row],[Age]]&lt;30,"Young (&lt;30)",IF(Table1[[#This Row],[Age]]&lt;=50,"Middle Age (30-50)","Older (&gt;50)"))</f>
        <v>Young (&lt;30)</v>
      </c>
      <c r="K167">
        <v>28</v>
      </c>
      <c r="L167">
        <v>1</v>
      </c>
    </row>
    <row r="168" spans="1:12" x14ac:dyDescent="0.3">
      <c r="A168">
        <v>1</v>
      </c>
      <c r="B168" t="str">
        <f>IF(Table1[[#This Row],[Glucose]]&lt;100,"Normal",IF(Table1[[#This Row],[Glucose]]&lt;126,"Prediabetes","High Risk"))</f>
        <v>High Risk</v>
      </c>
      <c r="C168">
        <v>196</v>
      </c>
      <c r="D168">
        <v>76</v>
      </c>
      <c r="E168">
        <v>36</v>
      </c>
      <c r="F168">
        <v>249</v>
      </c>
      <c r="G168" t="str">
        <f>IF(Table1[[#This Row],[BMI]]&lt;18.5,"Underweight",IF(Table1[[#This Row],[BMI]]&lt;25,"Normal",IF(Table1[[#This Row],[BMI]]&lt;30,"Overweight","Obese")))</f>
        <v>Obese</v>
      </c>
      <c r="H168">
        <v>36.5</v>
      </c>
      <c r="I168">
        <v>0.875</v>
      </c>
      <c r="J168" t="str">
        <f>IF(Table1[[#This Row],[Age]]&lt;30,"Young (&lt;30)",IF(Table1[[#This Row],[Age]]&lt;=50,"Middle Age (30-50)","Older (&gt;50)"))</f>
        <v>Young (&lt;30)</v>
      </c>
      <c r="K168">
        <v>29</v>
      </c>
      <c r="L168">
        <v>1</v>
      </c>
    </row>
    <row r="169" spans="1:12" x14ac:dyDescent="0.3">
      <c r="A169">
        <v>1</v>
      </c>
      <c r="B169" t="str">
        <f>IF(Table1[[#This Row],[Glucose]]&lt;100,"Normal",IF(Table1[[#This Row],[Glucose]]&lt;126,"Prediabetes","High Risk"))</f>
        <v>High Risk</v>
      </c>
      <c r="C169">
        <v>133</v>
      </c>
      <c r="D169">
        <v>102</v>
      </c>
      <c r="E169">
        <v>28</v>
      </c>
      <c r="F169">
        <v>140</v>
      </c>
      <c r="G169" t="str">
        <f>IF(Table1[[#This Row],[BMI]]&lt;18.5,"Underweight",IF(Table1[[#This Row],[BMI]]&lt;25,"Normal",IF(Table1[[#This Row],[BMI]]&lt;30,"Overweight","Obese")))</f>
        <v>Obese</v>
      </c>
      <c r="H169">
        <v>32.799999999999997</v>
      </c>
      <c r="I169">
        <v>0.23400000000000001</v>
      </c>
      <c r="J169" t="str">
        <f>IF(Table1[[#This Row],[Age]]&lt;30,"Young (&lt;30)",IF(Table1[[#This Row],[Age]]&lt;=50,"Middle Age (30-50)","Older (&gt;50)"))</f>
        <v>Middle Age (30-50)</v>
      </c>
      <c r="K169">
        <v>45</v>
      </c>
      <c r="L169">
        <v>1</v>
      </c>
    </row>
    <row r="170" spans="1:12" x14ac:dyDescent="0.3">
      <c r="A170">
        <v>1</v>
      </c>
      <c r="B170" t="str">
        <f>IF(Table1[[#This Row],[Glucose]]&lt;100,"Normal",IF(Table1[[#This Row],[Glucose]]&lt;126,"Prediabetes","High Risk"))</f>
        <v>Normal</v>
      </c>
      <c r="C170">
        <v>87</v>
      </c>
      <c r="D170">
        <v>60</v>
      </c>
      <c r="E170">
        <v>37</v>
      </c>
      <c r="F170">
        <v>75</v>
      </c>
      <c r="G170" t="str">
        <f>IF(Table1[[#This Row],[BMI]]&lt;18.5,"Underweight",IF(Table1[[#This Row],[BMI]]&lt;25,"Normal",IF(Table1[[#This Row],[BMI]]&lt;30,"Overweight","Obese")))</f>
        <v>Obese</v>
      </c>
      <c r="H170">
        <v>37.200000000000003</v>
      </c>
      <c r="I170">
        <v>0.50900000000000001</v>
      </c>
      <c r="J170" t="str">
        <f>IF(Table1[[#This Row],[Age]]&lt;30,"Young (&lt;30)",IF(Table1[[#This Row],[Age]]&lt;=50,"Middle Age (30-50)","Older (&gt;50)"))</f>
        <v>Young (&lt;30)</v>
      </c>
      <c r="K170">
        <v>22</v>
      </c>
      <c r="L170">
        <v>0</v>
      </c>
    </row>
    <row r="171" spans="1:12" x14ac:dyDescent="0.3">
      <c r="A171">
        <v>1</v>
      </c>
      <c r="B171" t="str">
        <f>IF(Table1[[#This Row],[Glucose]]&lt;100,"Normal",IF(Table1[[#This Row],[Glucose]]&lt;126,"Prediabetes","High Risk"))</f>
        <v>Prediabetes</v>
      </c>
      <c r="C171">
        <v>107</v>
      </c>
      <c r="D171">
        <v>72</v>
      </c>
      <c r="E171">
        <v>30</v>
      </c>
      <c r="F171">
        <v>82</v>
      </c>
      <c r="G171" t="str">
        <f>IF(Table1[[#This Row],[BMI]]&lt;18.5,"Underweight",IF(Table1[[#This Row],[BMI]]&lt;25,"Normal",IF(Table1[[#This Row],[BMI]]&lt;30,"Overweight","Obese")))</f>
        <v>Obese</v>
      </c>
      <c r="H171">
        <v>30.8</v>
      </c>
      <c r="I171">
        <v>0.82099999999999995</v>
      </c>
      <c r="J171" t="str">
        <f>IF(Table1[[#This Row],[Age]]&lt;30,"Young (&lt;30)",IF(Table1[[#This Row],[Age]]&lt;=50,"Middle Age (30-50)","Older (&gt;50)"))</f>
        <v>Young (&lt;30)</v>
      </c>
      <c r="K171">
        <v>24</v>
      </c>
      <c r="L171">
        <v>0</v>
      </c>
    </row>
    <row r="172" spans="1:12" x14ac:dyDescent="0.3">
      <c r="A172">
        <v>1</v>
      </c>
      <c r="B172" t="str">
        <f>IF(Table1[[#This Row],[Glucose]]&lt;100,"Normal",IF(Table1[[#This Row],[Glucose]]&lt;126,"Prediabetes","High Risk"))</f>
        <v>Prediabetes</v>
      </c>
      <c r="C172">
        <v>109</v>
      </c>
      <c r="D172">
        <v>60</v>
      </c>
      <c r="E172">
        <v>8</v>
      </c>
      <c r="F172">
        <v>182</v>
      </c>
      <c r="G172" t="str">
        <f>IF(Table1[[#This Row],[BMI]]&lt;18.5,"Underweight",IF(Table1[[#This Row],[BMI]]&lt;25,"Normal",IF(Table1[[#This Row],[BMI]]&lt;30,"Overweight","Obese")))</f>
        <v>Overweight</v>
      </c>
      <c r="H172">
        <v>25.4</v>
      </c>
      <c r="I172">
        <v>0.94699999999999995</v>
      </c>
      <c r="J172" t="str">
        <f>IF(Table1[[#This Row],[Age]]&lt;30,"Young (&lt;30)",IF(Table1[[#This Row],[Age]]&lt;=50,"Middle Age (30-50)","Older (&gt;50)"))</f>
        <v>Young (&lt;30)</v>
      </c>
      <c r="K172">
        <v>21</v>
      </c>
      <c r="L172">
        <v>0</v>
      </c>
    </row>
    <row r="173" spans="1:12" x14ac:dyDescent="0.3">
      <c r="A173">
        <v>1</v>
      </c>
      <c r="B173" t="str">
        <f>IF(Table1[[#This Row],[Glucose]]&lt;100,"Normal",IF(Table1[[#This Row],[Glucose]]&lt;126,"Prediabetes","High Risk"))</f>
        <v>Normal</v>
      </c>
      <c r="C173">
        <v>90</v>
      </c>
      <c r="D173">
        <v>62</v>
      </c>
      <c r="E173">
        <v>18</v>
      </c>
      <c r="F173">
        <v>59</v>
      </c>
      <c r="G173" t="str">
        <f>IF(Table1[[#This Row],[BMI]]&lt;18.5,"Underweight",IF(Table1[[#This Row],[BMI]]&lt;25,"Normal",IF(Table1[[#This Row],[BMI]]&lt;30,"Overweight","Obese")))</f>
        <v>Overweight</v>
      </c>
      <c r="H173">
        <v>25.1</v>
      </c>
      <c r="I173">
        <v>1.268</v>
      </c>
      <c r="J173" t="str">
        <f>IF(Table1[[#This Row],[Age]]&lt;30,"Young (&lt;30)",IF(Table1[[#This Row],[Age]]&lt;=50,"Middle Age (30-50)","Older (&gt;50)"))</f>
        <v>Young (&lt;30)</v>
      </c>
      <c r="K173">
        <v>25</v>
      </c>
      <c r="L173">
        <v>0</v>
      </c>
    </row>
    <row r="174" spans="1:12" x14ac:dyDescent="0.3">
      <c r="A174">
        <v>1</v>
      </c>
      <c r="B174" t="str">
        <f>IF(Table1[[#This Row],[Glucose]]&lt;100,"Normal",IF(Table1[[#This Row],[Glucose]]&lt;126,"Prediabetes","High Risk"))</f>
        <v>Prediabetes</v>
      </c>
      <c r="C174">
        <v>125</v>
      </c>
      <c r="D174">
        <v>70</v>
      </c>
      <c r="E174">
        <v>24</v>
      </c>
      <c r="F174">
        <v>110</v>
      </c>
      <c r="G174" t="str">
        <f>IF(Table1[[#This Row],[BMI]]&lt;18.5,"Underweight",IF(Table1[[#This Row],[BMI]]&lt;25,"Normal",IF(Table1[[#This Row],[BMI]]&lt;30,"Overweight","Obese")))</f>
        <v>Normal</v>
      </c>
      <c r="H174">
        <v>24.3</v>
      </c>
      <c r="I174">
        <v>0.221</v>
      </c>
      <c r="J174" t="str">
        <f>IF(Table1[[#This Row],[Age]]&lt;30,"Young (&lt;30)",IF(Table1[[#This Row],[Age]]&lt;=50,"Middle Age (30-50)","Older (&gt;50)"))</f>
        <v>Young (&lt;30)</v>
      </c>
      <c r="K174">
        <v>25</v>
      </c>
      <c r="L174">
        <v>0</v>
      </c>
    </row>
    <row r="175" spans="1:12" x14ac:dyDescent="0.3">
      <c r="A175">
        <v>1</v>
      </c>
      <c r="B175" t="str">
        <f>IF(Table1[[#This Row],[Glucose]]&lt;100,"Normal",IF(Table1[[#This Row],[Glucose]]&lt;126,"Prediabetes","High Risk"))</f>
        <v>Prediabetes</v>
      </c>
      <c r="C175">
        <v>119</v>
      </c>
      <c r="D175">
        <v>54</v>
      </c>
      <c r="E175">
        <v>13</v>
      </c>
      <c r="F175">
        <v>50</v>
      </c>
      <c r="G175" t="str">
        <f>IF(Table1[[#This Row],[BMI]]&lt;18.5,"Underweight",IF(Table1[[#This Row],[BMI]]&lt;25,"Normal",IF(Table1[[#This Row],[BMI]]&lt;30,"Overweight","Obese")))</f>
        <v>Normal</v>
      </c>
      <c r="H175">
        <v>22.3</v>
      </c>
      <c r="I175">
        <v>0.20499999999999999</v>
      </c>
      <c r="J175" t="str">
        <f>IF(Table1[[#This Row],[Age]]&lt;30,"Young (&lt;30)",IF(Table1[[#This Row],[Age]]&lt;=50,"Middle Age (30-50)","Older (&gt;50)"))</f>
        <v>Young (&lt;30)</v>
      </c>
      <c r="K175">
        <v>24</v>
      </c>
      <c r="L175">
        <v>0</v>
      </c>
    </row>
    <row r="176" spans="1:12" x14ac:dyDescent="0.3">
      <c r="A176">
        <v>1</v>
      </c>
      <c r="B176" t="str">
        <f>IF(Table1[[#This Row],[Glucose]]&lt;100,"Normal",IF(Table1[[#This Row],[Glucose]]&lt;126,"Prediabetes","High Risk"))</f>
        <v>Prediabetes</v>
      </c>
      <c r="C176">
        <v>100</v>
      </c>
      <c r="D176">
        <v>66</v>
      </c>
      <c r="E176">
        <v>29</v>
      </c>
      <c r="F176">
        <v>196</v>
      </c>
      <c r="G176" t="str">
        <f>IF(Table1[[#This Row],[BMI]]&lt;18.5,"Underweight",IF(Table1[[#This Row],[BMI]]&lt;25,"Normal",IF(Table1[[#This Row],[BMI]]&lt;30,"Overweight","Obese")))</f>
        <v>Obese</v>
      </c>
      <c r="H176">
        <v>32</v>
      </c>
      <c r="I176">
        <v>0.44400000000000001</v>
      </c>
      <c r="J176" t="str">
        <f>IF(Table1[[#This Row],[Age]]&lt;30,"Young (&lt;30)",IF(Table1[[#This Row],[Age]]&lt;=50,"Middle Age (30-50)","Older (&gt;50)"))</f>
        <v>Middle Age (30-50)</v>
      </c>
      <c r="K176">
        <v>42</v>
      </c>
      <c r="L176">
        <v>0</v>
      </c>
    </row>
    <row r="177" spans="1:12" x14ac:dyDescent="0.3">
      <c r="A177">
        <v>1</v>
      </c>
      <c r="B177" t="str">
        <f>IF(Table1[[#This Row],[Glucose]]&lt;100,"Normal",IF(Table1[[#This Row],[Glucose]]&lt;126,"Prediabetes","High Risk"))</f>
        <v>High Risk</v>
      </c>
      <c r="C177">
        <v>131</v>
      </c>
      <c r="D177">
        <v>64</v>
      </c>
      <c r="E177">
        <v>14</v>
      </c>
      <c r="F177">
        <v>415</v>
      </c>
      <c r="G177" t="str">
        <f>IF(Table1[[#This Row],[BMI]]&lt;18.5,"Underweight",IF(Table1[[#This Row],[BMI]]&lt;25,"Normal",IF(Table1[[#This Row],[BMI]]&lt;30,"Overweight","Obese")))</f>
        <v>Normal</v>
      </c>
      <c r="H177">
        <v>23.7</v>
      </c>
      <c r="I177">
        <v>0.38900000000000001</v>
      </c>
      <c r="J177" t="str">
        <f>IF(Table1[[#This Row],[Age]]&lt;30,"Young (&lt;30)",IF(Table1[[#This Row],[Age]]&lt;=50,"Middle Age (30-50)","Older (&gt;50)"))</f>
        <v>Young (&lt;30)</v>
      </c>
      <c r="K177">
        <v>21</v>
      </c>
      <c r="L177">
        <v>0</v>
      </c>
    </row>
    <row r="178" spans="1:12" x14ac:dyDescent="0.3">
      <c r="A178">
        <v>1</v>
      </c>
      <c r="B178" t="str">
        <f>IF(Table1[[#This Row],[Glucose]]&lt;100,"Normal",IF(Table1[[#This Row],[Glucose]]&lt;126,"Prediabetes","High Risk"))</f>
        <v>High Risk</v>
      </c>
      <c r="C178">
        <v>172</v>
      </c>
      <c r="D178">
        <v>68</v>
      </c>
      <c r="E178">
        <v>49</v>
      </c>
      <c r="F178">
        <v>579</v>
      </c>
      <c r="G178" t="str">
        <f>IF(Table1[[#This Row],[BMI]]&lt;18.5,"Underweight",IF(Table1[[#This Row],[BMI]]&lt;25,"Normal",IF(Table1[[#This Row],[BMI]]&lt;30,"Overweight","Obese")))</f>
        <v>Obese</v>
      </c>
      <c r="H178">
        <v>42.4</v>
      </c>
      <c r="I178">
        <v>0.70199999999999996</v>
      </c>
      <c r="J178" t="str">
        <f>IF(Table1[[#This Row],[Age]]&lt;30,"Young (&lt;30)",IF(Table1[[#This Row],[Age]]&lt;=50,"Middle Age (30-50)","Older (&gt;50)"))</f>
        <v>Young (&lt;30)</v>
      </c>
      <c r="K178">
        <v>28</v>
      </c>
      <c r="L178">
        <v>1</v>
      </c>
    </row>
    <row r="179" spans="1:12" x14ac:dyDescent="0.3">
      <c r="A179">
        <v>1</v>
      </c>
      <c r="B179" t="str">
        <f>IF(Table1[[#This Row],[Glucose]]&lt;100,"Normal",IF(Table1[[#This Row],[Glucose]]&lt;126,"Prediabetes","High Risk"))</f>
        <v>Prediabetes</v>
      </c>
      <c r="C179">
        <v>112</v>
      </c>
      <c r="D179">
        <v>72</v>
      </c>
      <c r="E179">
        <v>30</v>
      </c>
      <c r="F179">
        <v>176</v>
      </c>
      <c r="G179" t="str">
        <f>IF(Table1[[#This Row],[BMI]]&lt;18.5,"Underweight",IF(Table1[[#This Row],[BMI]]&lt;25,"Normal",IF(Table1[[#This Row],[BMI]]&lt;30,"Overweight","Obese")))</f>
        <v>Obese</v>
      </c>
      <c r="H179">
        <v>34.4</v>
      </c>
      <c r="I179">
        <v>0.52800000000000002</v>
      </c>
      <c r="J179" t="str">
        <f>IF(Table1[[#This Row],[Age]]&lt;30,"Young (&lt;30)",IF(Table1[[#This Row],[Age]]&lt;=50,"Middle Age (30-50)","Older (&gt;50)"))</f>
        <v>Young (&lt;30)</v>
      </c>
      <c r="K179">
        <v>25</v>
      </c>
      <c r="L179">
        <v>0</v>
      </c>
    </row>
    <row r="180" spans="1:12" x14ac:dyDescent="0.3">
      <c r="A180">
        <v>1</v>
      </c>
      <c r="B180" t="str">
        <f>IF(Table1[[#This Row],[Glucose]]&lt;100,"Normal",IF(Table1[[#This Row],[Glucose]]&lt;126,"Prediabetes","High Risk"))</f>
        <v>High Risk</v>
      </c>
      <c r="C180">
        <v>143</v>
      </c>
      <c r="D180">
        <v>84</v>
      </c>
      <c r="E180">
        <v>23</v>
      </c>
      <c r="F180">
        <v>310</v>
      </c>
      <c r="G180" t="str">
        <f>IF(Table1[[#This Row],[BMI]]&lt;18.5,"Underweight",IF(Table1[[#This Row],[BMI]]&lt;25,"Normal",IF(Table1[[#This Row],[BMI]]&lt;30,"Overweight","Obese")))</f>
        <v>Obese</v>
      </c>
      <c r="H180">
        <v>42.4</v>
      </c>
      <c r="I180">
        <v>1.0760000000000001</v>
      </c>
      <c r="J180" t="str">
        <f>IF(Table1[[#This Row],[Age]]&lt;30,"Young (&lt;30)",IF(Table1[[#This Row],[Age]]&lt;=50,"Middle Age (30-50)","Older (&gt;50)"))</f>
        <v>Young (&lt;30)</v>
      </c>
      <c r="K180">
        <v>22</v>
      </c>
      <c r="L180">
        <v>0</v>
      </c>
    </row>
    <row r="181" spans="1:12" x14ac:dyDescent="0.3">
      <c r="A181">
        <v>1</v>
      </c>
      <c r="B181" t="str">
        <f>IF(Table1[[#This Row],[Glucose]]&lt;100,"Normal",IF(Table1[[#This Row],[Glucose]]&lt;126,"Prediabetes","High Risk"))</f>
        <v>High Risk</v>
      </c>
      <c r="C181">
        <v>143</v>
      </c>
      <c r="D181">
        <v>74</v>
      </c>
      <c r="E181">
        <v>22</v>
      </c>
      <c r="F181">
        <v>61</v>
      </c>
      <c r="G181" t="str">
        <f>IF(Table1[[#This Row],[BMI]]&lt;18.5,"Underweight",IF(Table1[[#This Row],[BMI]]&lt;25,"Normal",IF(Table1[[#This Row],[BMI]]&lt;30,"Overweight","Obese")))</f>
        <v>Overweight</v>
      </c>
      <c r="H181">
        <v>26.2</v>
      </c>
      <c r="I181">
        <v>0.25600000000000001</v>
      </c>
      <c r="J181" t="str">
        <f>IF(Table1[[#This Row],[Age]]&lt;30,"Young (&lt;30)",IF(Table1[[#This Row],[Age]]&lt;=50,"Middle Age (30-50)","Older (&gt;50)"))</f>
        <v>Young (&lt;30)</v>
      </c>
      <c r="K181">
        <v>21</v>
      </c>
      <c r="L181">
        <v>0</v>
      </c>
    </row>
    <row r="182" spans="1:12" x14ac:dyDescent="0.3">
      <c r="A182">
        <v>1</v>
      </c>
      <c r="B182" t="str">
        <f>IF(Table1[[#This Row],[Glucose]]&lt;100,"Normal",IF(Table1[[#This Row],[Glucose]]&lt;126,"Prediabetes","High Risk"))</f>
        <v>Normal</v>
      </c>
      <c r="C182">
        <v>97</v>
      </c>
      <c r="D182">
        <v>68</v>
      </c>
      <c r="E182">
        <v>21</v>
      </c>
      <c r="F182">
        <v>0</v>
      </c>
      <c r="G182" t="str">
        <f>IF(Table1[[#This Row],[BMI]]&lt;18.5,"Underweight",IF(Table1[[#This Row],[BMI]]&lt;25,"Normal",IF(Table1[[#This Row],[BMI]]&lt;30,"Overweight","Obese")))</f>
        <v>Overweight</v>
      </c>
      <c r="H182">
        <v>27.2</v>
      </c>
      <c r="I182">
        <v>1.095</v>
      </c>
      <c r="J182" t="str">
        <f>IF(Table1[[#This Row],[Age]]&lt;30,"Young (&lt;30)",IF(Table1[[#This Row],[Age]]&lt;=50,"Middle Age (30-50)","Older (&gt;50)"))</f>
        <v>Young (&lt;30)</v>
      </c>
      <c r="K182">
        <v>22</v>
      </c>
      <c r="L182">
        <v>0</v>
      </c>
    </row>
    <row r="183" spans="1:12" x14ac:dyDescent="0.3">
      <c r="A183">
        <v>1</v>
      </c>
      <c r="B183" t="str">
        <f>IF(Table1[[#This Row],[Glucose]]&lt;100,"Normal",IF(Table1[[#This Row],[Glucose]]&lt;126,"Prediabetes","High Risk"))</f>
        <v>Normal</v>
      </c>
      <c r="C183">
        <v>83</v>
      </c>
      <c r="D183">
        <v>68</v>
      </c>
      <c r="E183">
        <v>0</v>
      </c>
      <c r="F183">
        <v>0</v>
      </c>
      <c r="G183" t="str">
        <f>IF(Table1[[#This Row],[BMI]]&lt;18.5,"Underweight",IF(Table1[[#This Row],[BMI]]&lt;25,"Normal",IF(Table1[[#This Row],[BMI]]&lt;30,"Overweight","Obese")))</f>
        <v>Underweight</v>
      </c>
      <c r="H183">
        <v>18.2</v>
      </c>
      <c r="I183">
        <v>0.624</v>
      </c>
      <c r="J183" t="str">
        <f>IF(Table1[[#This Row],[Age]]&lt;30,"Young (&lt;30)",IF(Table1[[#This Row],[Age]]&lt;=50,"Middle Age (30-50)","Older (&gt;50)"))</f>
        <v>Young (&lt;30)</v>
      </c>
      <c r="K183">
        <v>27</v>
      </c>
      <c r="L183">
        <v>0</v>
      </c>
    </row>
    <row r="184" spans="1:12" x14ac:dyDescent="0.3">
      <c r="A184">
        <v>1</v>
      </c>
      <c r="B184" t="str">
        <f>IF(Table1[[#This Row],[Glucose]]&lt;100,"Normal",IF(Table1[[#This Row],[Glucose]]&lt;126,"Prediabetes","High Risk"))</f>
        <v>Prediabetes</v>
      </c>
      <c r="C184">
        <v>119</v>
      </c>
      <c r="D184">
        <v>88</v>
      </c>
      <c r="E184">
        <v>41</v>
      </c>
      <c r="F184">
        <v>170</v>
      </c>
      <c r="G184" t="str">
        <f>IF(Table1[[#This Row],[BMI]]&lt;18.5,"Underweight",IF(Table1[[#This Row],[BMI]]&lt;25,"Normal",IF(Table1[[#This Row],[BMI]]&lt;30,"Overweight","Obese")))</f>
        <v>Obese</v>
      </c>
      <c r="H184">
        <v>45.3</v>
      </c>
      <c r="I184">
        <v>0.50700000000000001</v>
      </c>
      <c r="J184" t="str">
        <f>IF(Table1[[#This Row],[Age]]&lt;30,"Young (&lt;30)",IF(Table1[[#This Row],[Age]]&lt;=50,"Middle Age (30-50)","Older (&gt;50)"))</f>
        <v>Young (&lt;30)</v>
      </c>
      <c r="K184">
        <v>26</v>
      </c>
      <c r="L184">
        <v>0</v>
      </c>
    </row>
    <row r="185" spans="1:12" x14ac:dyDescent="0.3">
      <c r="A185">
        <v>1</v>
      </c>
      <c r="B185" t="str">
        <f>IF(Table1[[#This Row],[Glucose]]&lt;100,"Normal",IF(Table1[[#This Row],[Glucose]]&lt;126,"Prediabetes","High Risk"))</f>
        <v>High Risk</v>
      </c>
      <c r="C185">
        <v>181</v>
      </c>
      <c r="D185">
        <v>64</v>
      </c>
      <c r="E185">
        <v>30</v>
      </c>
      <c r="F185">
        <v>180</v>
      </c>
      <c r="G185" t="str">
        <f>IF(Table1[[#This Row],[BMI]]&lt;18.5,"Underweight",IF(Table1[[#This Row],[BMI]]&lt;25,"Normal",IF(Table1[[#This Row],[BMI]]&lt;30,"Overweight","Obese")))</f>
        <v>Obese</v>
      </c>
      <c r="H185">
        <v>34.1</v>
      </c>
      <c r="I185">
        <v>0.32800000000000001</v>
      </c>
      <c r="J185" t="str">
        <f>IF(Table1[[#This Row],[Age]]&lt;30,"Young (&lt;30)",IF(Table1[[#This Row],[Age]]&lt;=50,"Middle Age (30-50)","Older (&gt;50)"))</f>
        <v>Middle Age (30-50)</v>
      </c>
      <c r="K185">
        <v>38</v>
      </c>
      <c r="L185">
        <v>1</v>
      </c>
    </row>
    <row r="186" spans="1:12" x14ac:dyDescent="0.3">
      <c r="A186">
        <v>1</v>
      </c>
      <c r="B186" t="str">
        <f>IF(Table1[[#This Row],[Glucose]]&lt;100,"Normal",IF(Table1[[#This Row],[Glucose]]&lt;126,"Prediabetes","High Risk"))</f>
        <v>Normal</v>
      </c>
      <c r="C186">
        <v>95</v>
      </c>
      <c r="D186">
        <v>82</v>
      </c>
      <c r="E186">
        <v>25</v>
      </c>
      <c r="F186">
        <v>180</v>
      </c>
      <c r="G186" t="str">
        <f>IF(Table1[[#This Row],[BMI]]&lt;18.5,"Underweight",IF(Table1[[#This Row],[BMI]]&lt;25,"Normal",IF(Table1[[#This Row],[BMI]]&lt;30,"Overweight","Obese")))</f>
        <v>Obese</v>
      </c>
      <c r="H186">
        <v>35</v>
      </c>
      <c r="I186">
        <v>0.23300000000000001</v>
      </c>
      <c r="J186" t="str">
        <f>IF(Table1[[#This Row],[Age]]&lt;30,"Young (&lt;30)",IF(Table1[[#This Row],[Age]]&lt;=50,"Middle Age (30-50)","Older (&gt;50)"))</f>
        <v>Middle Age (30-50)</v>
      </c>
      <c r="K186">
        <v>43</v>
      </c>
      <c r="L186">
        <v>1</v>
      </c>
    </row>
    <row r="187" spans="1:12" x14ac:dyDescent="0.3">
      <c r="A187">
        <v>1</v>
      </c>
      <c r="B187" t="str">
        <f>IF(Table1[[#This Row],[Glucose]]&lt;100,"Normal",IF(Table1[[#This Row],[Glucose]]&lt;126,"Prediabetes","High Risk"))</f>
        <v>Normal</v>
      </c>
      <c r="C187">
        <v>80</v>
      </c>
      <c r="D187">
        <v>74</v>
      </c>
      <c r="E187">
        <v>11</v>
      </c>
      <c r="F187">
        <v>60</v>
      </c>
      <c r="G187" t="str">
        <f>IF(Table1[[#This Row],[BMI]]&lt;18.5,"Underweight",IF(Table1[[#This Row],[BMI]]&lt;25,"Normal",IF(Table1[[#This Row],[BMI]]&lt;30,"Overweight","Obese")))</f>
        <v>Obese</v>
      </c>
      <c r="H187">
        <v>30</v>
      </c>
      <c r="I187">
        <v>0.52700000000000002</v>
      </c>
      <c r="J187" t="str">
        <f>IF(Table1[[#This Row],[Age]]&lt;30,"Young (&lt;30)",IF(Table1[[#This Row],[Age]]&lt;=50,"Middle Age (30-50)","Older (&gt;50)"))</f>
        <v>Young (&lt;30)</v>
      </c>
      <c r="K187">
        <v>22</v>
      </c>
      <c r="L187">
        <v>0</v>
      </c>
    </row>
    <row r="188" spans="1:12" x14ac:dyDescent="0.3">
      <c r="A188">
        <v>1</v>
      </c>
      <c r="B188" t="str">
        <f>IF(Table1[[#This Row],[Glucose]]&lt;100,"Normal",IF(Table1[[#This Row],[Glucose]]&lt;126,"Prediabetes","High Risk"))</f>
        <v>Normal</v>
      </c>
      <c r="C188">
        <v>90</v>
      </c>
      <c r="D188">
        <v>68</v>
      </c>
      <c r="E188">
        <v>8</v>
      </c>
      <c r="F188">
        <v>0</v>
      </c>
      <c r="G188" t="str">
        <f>IF(Table1[[#This Row],[BMI]]&lt;18.5,"Underweight",IF(Table1[[#This Row],[BMI]]&lt;25,"Normal",IF(Table1[[#This Row],[BMI]]&lt;30,"Overweight","Obese")))</f>
        <v>Normal</v>
      </c>
      <c r="H188">
        <v>24.5</v>
      </c>
      <c r="I188">
        <v>1.1379999999999999</v>
      </c>
      <c r="J188" t="str">
        <f>IF(Table1[[#This Row],[Age]]&lt;30,"Young (&lt;30)",IF(Table1[[#This Row],[Age]]&lt;=50,"Middle Age (30-50)","Older (&gt;50)"))</f>
        <v>Middle Age (30-50)</v>
      </c>
      <c r="K188">
        <v>36</v>
      </c>
      <c r="L188">
        <v>0</v>
      </c>
    </row>
    <row r="189" spans="1:12" x14ac:dyDescent="0.3">
      <c r="A189">
        <v>1</v>
      </c>
      <c r="B189" t="str">
        <f>IF(Table1[[#This Row],[Glucose]]&lt;100,"Normal",IF(Table1[[#This Row],[Glucose]]&lt;126,"Prediabetes","High Risk"))</f>
        <v>Normal</v>
      </c>
      <c r="C189">
        <v>97</v>
      </c>
      <c r="D189">
        <v>70</v>
      </c>
      <c r="E189">
        <v>15</v>
      </c>
      <c r="F189">
        <v>0</v>
      </c>
      <c r="G189" t="str">
        <f>IF(Table1[[#This Row],[BMI]]&lt;18.5,"Underweight",IF(Table1[[#This Row],[BMI]]&lt;25,"Normal",IF(Table1[[#This Row],[BMI]]&lt;30,"Overweight","Obese")))</f>
        <v>Underweight</v>
      </c>
      <c r="H189">
        <v>18.2</v>
      </c>
      <c r="I189">
        <v>0.14699999999999999</v>
      </c>
      <c r="J189" t="str">
        <f>IF(Table1[[#This Row],[Age]]&lt;30,"Young (&lt;30)",IF(Table1[[#This Row],[Age]]&lt;=50,"Middle Age (30-50)","Older (&gt;50)"))</f>
        <v>Young (&lt;30)</v>
      </c>
      <c r="K189">
        <v>21</v>
      </c>
      <c r="L189">
        <v>0</v>
      </c>
    </row>
    <row r="190" spans="1:12" x14ac:dyDescent="0.3">
      <c r="A190">
        <v>1</v>
      </c>
      <c r="B190" t="str">
        <f>IF(Table1[[#This Row],[Glucose]]&lt;100,"Normal",IF(Table1[[#This Row],[Glucose]]&lt;126,"Prediabetes","High Risk"))</f>
        <v>Prediabetes</v>
      </c>
      <c r="C190">
        <v>100</v>
      </c>
      <c r="D190">
        <v>72</v>
      </c>
      <c r="E190">
        <v>12</v>
      </c>
      <c r="F190">
        <v>70</v>
      </c>
      <c r="G190" t="str">
        <f>IF(Table1[[#This Row],[BMI]]&lt;18.5,"Underweight",IF(Table1[[#This Row],[BMI]]&lt;25,"Normal",IF(Table1[[#This Row],[BMI]]&lt;30,"Overweight","Obese")))</f>
        <v>Overweight</v>
      </c>
      <c r="H190">
        <v>25.3</v>
      </c>
      <c r="I190">
        <v>0.65800000000000003</v>
      </c>
      <c r="J190" t="str">
        <f>IF(Table1[[#This Row],[Age]]&lt;30,"Young (&lt;30)",IF(Table1[[#This Row],[Age]]&lt;=50,"Middle Age (30-50)","Older (&gt;50)"))</f>
        <v>Young (&lt;30)</v>
      </c>
      <c r="K190">
        <v>28</v>
      </c>
      <c r="L190">
        <v>0</v>
      </c>
    </row>
    <row r="191" spans="1:12" x14ac:dyDescent="0.3">
      <c r="A191">
        <v>1</v>
      </c>
      <c r="B191" t="str">
        <f>IF(Table1[[#This Row],[Glucose]]&lt;100,"Normal",IF(Table1[[#This Row],[Glucose]]&lt;126,"Prediabetes","High Risk"))</f>
        <v>Normal</v>
      </c>
      <c r="C191">
        <v>82</v>
      </c>
      <c r="D191">
        <v>64</v>
      </c>
      <c r="E191">
        <v>13</v>
      </c>
      <c r="F191">
        <v>95</v>
      </c>
      <c r="G191" t="str">
        <f>IF(Table1[[#This Row],[BMI]]&lt;18.5,"Underweight",IF(Table1[[#This Row],[BMI]]&lt;25,"Normal",IF(Table1[[#This Row],[BMI]]&lt;30,"Overweight","Obese")))</f>
        <v>Normal</v>
      </c>
      <c r="H191">
        <v>21.2</v>
      </c>
      <c r="I191">
        <v>0.41499999999999998</v>
      </c>
      <c r="J191" t="str">
        <f>IF(Table1[[#This Row],[Age]]&lt;30,"Young (&lt;30)",IF(Table1[[#This Row],[Age]]&lt;=50,"Middle Age (30-50)","Older (&gt;50)"))</f>
        <v>Young (&lt;30)</v>
      </c>
      <c r="K191">
        <v>23</v>
      </c>
      <c r="L191">
        <v>0</v>
      </c>
    </row>
    <row r="192" spans="1:12" x14ac:dyDescent="0.3">
      <c r="A192">
        <v>1</v>
      </c>
      <c r="B192" t="str">
        <f>IF(Table1[[#This Row],[Glucose]]&lt;100,"Normal",IF(Table1[[#This Row],[Glucose]]&lt;126,"Prediabetes","High Risk"))</f>
        <v>High Risk</v>
      </c>
      <c r="C192">
        <v>135</v>
      </c>
      <c r="D192">
        <v>54</v>
      </c>
      <c r="E192">
        <v>0</v>
      </c>
      <c r="F192">
        <v>0</v>
      </c>
      <c r="G192" t="str">
        <f>IF(Table1[[#This Row],[BMI]]&lt;18.5,"Underweight",IF(Table1[[#This Row],[BMI]]&lt;25,"Normal",IF(Table1[[#This Row],[BMI]]&lt;30,"Overweight","Obese")))</f>
        <v>Overweight</v>
      </c>
      <c r="H192">
        <v>26.7</v>
      </c>
      <c r="I192">
        <v>0.68700000000000006</v>
      </c>
      <c r="J192" t="str">
        <f>IF(Table1[[#This Row],[Age]]&lt;30,"Young (&lt;30)",IF(Table1[[#This Row],[Age]]&lt;=50,"Middle Age (30-50)","Older (&gt;50)"))</f>
        <v>Older (&gt;50)</v>
      </c>
      <c r="K192">
        <v>62</v>
      </c>
      <c r="L192">
        <v>0</v>
      </c>
    </row>
    <row r="193" spans="1:12" x14ac:dyDescent="0.3">
      <c r="A193">
        <v>1</v>
      </c>
      <c r="B193" t="str">
        <f>IF(Table1[[#This Row],[Glucose]]&lt;100,"Normal",IF(Table1[[#This Row],[Glucose]]&lt;126,"Prediabetes","High Risk"))</f>
        <v>Normal</v>
      </c>
      <c r="C193">
        <v>71</v>
      </c>
      <c r="D193">
        <v>62</v>
      </c>
      <c r="E193">
        <v>0</v>
      </c>
      <c r="F193">
        <v>0</v>
      </c>
      <c r="G193" t="str">
        <f>IF(Table1[[#This Row],[BMI]]&lt;18.5,"Underweight",IF(Table1[[#This Row],[BMI]]&lt;25,"Normal",IF(Table1[[#This Row],[BMI]]&lt;30,"Overweight","Obese")))</f>
        <v>Normal</v>
      </c>
      <c r="H193">
        <v>21.8</v>
      </c>
      <c r="I193">
        <v>0.41599999999999998</v>
      </c>
      <c r="J193" t="str">
        <f>IF(Table1[[#This Row],[Age]]&lt;30,"Young (&lt;30)",IF(Table1[[#This Row],[Age]]&lt;=50,"Middle Age (30-50)","Older (&gt;50)"))</f>
        <v>Young (&lt;30)</v>
      </c>
      <c r="K193">
        <v>26</v>
      </c>
      <c r="L193">
        <v>0</v>
      </c>
    </row>
    <row r="194" spans="1:12" x14ac:dyDescent="0.3">
      <c r="A194">
        <v>1</v>
      </c>
      <c r="B194" t="str">
        <f>IF(Table1[[#This Row],[Glucose]]&lt;100,"Normal",IF(Table1[[#This Row],[Glucose]]&lt;126,"Prediabetes","High Risk"))</f>
        <v>High Risk</v>
      </c>
      <c r="C194">
        <v>144</v>
      </c>
      <c r="D194">
        <v>82</v>
      </c>
      <c r="E194">
        <v>40</v>
      </c>
      <c r="F194">
        <v>0</v>
      </c>
      <c r="G194" t="str">
        <f>IF(Table1[[#This Row],[BMI]]&lt;18.5,"Underweight",IF(Table1[[#This Row],[BMI]]&lt;25,"Normal",IF(Table1[[#This Row],[BMI]]&lt;30,"Overweight","Obese")))</f>
        <v>Obese</v>
      </c>
      <c r="H194">
        <v>41.3</v>
      </c>
      <c r="I194">
        <v>0.60699999999999998</v>
      </c>
      <c r="J194" t="str">
        <f>IF(Table1[[#This Row],[Age]]&lt;30,"Young (&lt;30)",IF(Table1[[#This Row],[Age]]&lt;=50,"Middle Age (30-50)","Older (&gt;50)"))</f>
        <v>Young (&lt;30)</v>
      </c>
      <c r="K194">
        <v>28</v>
      </c>
      <c r="L194">
        <v>0</v>
      </c>
    </row>
    <row r="195" spans="1:12" x14ac:dyDescent="0.3">
      <c r="A195">
        <v>1</v>
      </c>
      <c r="B195" t="str">
        <f>IF(Table1[[#This Row],[Glucose]]&lt;100,"Normal",IF(Table1[[#This Row],[Glucose]]&lt;126,"Prediabetes","High Risk"))</f>
        <v>High Risk</v>
      </c>
      <c r="C195">
        <v>139</v>
      </c>
      <c r="D195">
        <v>62</v>
      </c>
      <c r="E195">
        <v>41</v>
      </c>
      <c r="F195">
        <v>480</v>
      </c>
      <c r="G195" t="str">
        <f>IF(Table1[[#This Row],[BMI]]&lt;18.5,"Underweight",IF(Table1[[#This Row],[BMI]]&lt;25,"Normal",IF(Table1[[#This Row],[BMI]]&lt;30,"Overweight","Obese")))</f>
        <v>Obese</v>
      </c>
      <c r="H195">
        <v>40.700000000000003</v>
      </c>
      <c r="I195">
        <v>0.53600000000000003</v>
      </c>
      <c r="J195" t="str">
        <f>IF(Table1[[#This Row],[Age]]&lt;30,"Young (&lt;30)",IF(Table1[[#This Row],[Age]]&lt;=50,"Middle Age (30-50)","Older (&gt;50)"))</f>
        <v>Young (&lt;30)</v>
      </c>
      <c r="K195">
        <v>21</v>
      </c>
      <c r="L195">
        <v>0</v>
      </c>
    </row>
    <row r="196" spans="1:12" x14ac:dyDescent="0.3">
      <c r="A196">
        <v>1</v>
      </c>
      <c r="B196" t="str">
        <f>IF(Table1[[#This Row],[Glucose]]&lt;100,"Normal",IF(Table1[[#This Row],[Glucose]]&lt;126,"Prediabetes","High Risk"))</f>
        <v>High Risk</v>
      </c>
      <c r="C196">
        <v>130</v>
      </c>
      <c r="D196">
        <v>60</v>
      </c>
      <c r="E196">
        <v>23</v>
      </c>
      <c r="F196">
        <v>170</v>
      </c>
      <c r="G196" t="str">
        <f>IF(Table1[[#This Row],[BMI]]&lt;18.5,"Underweight",IF(Table1[[#This Row],[BMI]]&lt;25,"Normal",IF(Table1[[#This Row],[BMI]]&lt;30,"Overweight","Obese")))</f>
        <v>Overweight</v>
      </c>
      <c r="H196">
        <v>28.6</v>
      </c>
      <c r="I196">
        <v>0.69199999999999995</v>
      </c>
      <c r="J196" t="str">
        <f>IF(Table1[[#This Row],[Age]]&lt;30,"Young (&lt;30)",IF(Table1[[#This Row],[Age]]&lt;=50,"Middle Age (30-50)","Older (&gt;50)"))</f>
        <v>Young (&lt;30)</v>
      </c>
      <c r="K196">
        <v>21</v>
      </c>
      <c r="L196">
        <v>0</v>
      </c>
    </row>
    <row r="197" spans="1:12" x14ac:dyDescent="0.3">
      <c r="A197">
        <v>1</v>
      </c>
      <c r="B197" t="str">
        <f>IF(Table1[[#This Row],[Glucose]]&lt;100,"Normal",IF(Table1[[#This Row],[Glucose]]&lt;126,"Prediabetes","High Risk"))</f>
        <v>Normal</v>
      </c>
      <c r="C197">
        <v>97</v>
      </c>
      <c r="D197">
        <v>64</v>
      </c>
      <c r="E197">
        <v>19</v>
      </c>
      <c r="F197">
        <v>82</v>
      </c>
      <c r="G197" t="str">
        <f>IF(Table1[[#This Row],[BMI]]&lt;18.5,"Underweight",IF(Table1[[#This Row],[BMI]]&lt;25,"Normal",IF(Table1[[#This Row],[BMI]]&lt;30,"Overweight","Obese")))</f>
        <v>Underweight</v>
      </c>
      <c r="H197">
        <v>18.2</v>
      </c>
      <c r="I197">
        <v>0.29899999999999999</v>
      </c>
      <c r="J197" t="str">
        <f>IF(Table1[[#This Row],[Age]]&lt;30,"Young (&lt;30)",IF(Table1[[#This Row],[Age]]&lt;=50,"Middle Age (30-50)","Older (&gt;50)"))</f>
        <v>Young (&lt;30)</v>
      </c>
      <c r="K197">
        <v>21</v>
      </c>
      <c r="L197">
        <v>0</v>
      </c>
    </row>
    <row r="198" spans="1:12" x14ac:dyDescent="0.3">
      <c r="A198">
        <v>1</v>
      </c>
      <c r="B198" t="str">
        <f>IF(Table1[[#This Row],[Glucose]]&lt;100,"Normal",IF(Table1[[#This Row],[Glucose]]&lt;126,"Prediabetes","High Risk"))</f>
        <v>Normal</v>
      </c>
      <c r="C198">
        <v>86</v>
      </c>
      <c r="D198">
        <v>66</v>
      </c>
      <c r="E198">
        <v>52</v>
      </c>
      <c r="F198">
        <v>65</v>
      </c>
      <c r="G198" t="str">
        <f>IF(Table1[[#This Row],[BMI]]&lt;18.5,"Underweight",IF(Table1[[#This Row],[BMI]]&lt;25,"Normal",IF(Table1[[#This Row],[BMI]]&lt;30,"Overweight","Obese")))</f>
        <v>Obese</v>
      </c>
      <c r="H198">
        <v>41.3</v>
      </c>
      <c r="I198">
        <v>0.91700000000000004</v>
      </c>
      <c r="J198" t="str">
        <f>IF(Table1[[#This Row],[Age]]&lt;30,"Young (&lt;30)",IF(Table1[[#This Row],[Age]]&lt;=50,"Middle Age (30-50)","Older (&gt;50)"))</f>
        <v>Young (&lt;30)</v>
      </c>
      <c r="K198">
        <v>29</v>
      </c>
      <c r="L198">
        <v>0</v>
      </c>
    </row>
    <row r="199" spans="1:12" x14ac:dyDescent="0.3">
      <c r="A199">
        <v>1</v>
      </c>
      <c r="B199" t="str">
        <f>IF(Table1[[#This Row],[Glucose]]&lt;100,"Normal",IF(Table1[[#This Row],[Glucose]]&lt;126,"Prediabetes","High Risk"))</f>
        <v>Normal</v>
      </c>
      <c r="C199">
        <v>77</v>
      </c>
      <c r="D199">
        <v>56</v>
      </c>
      <c r="E199">
        <v>30</v>
      </c>
      <c r="F199">
        <v>56</v>
      </c>
      <c r="G199" t="str">
        <f>IF(Table1[[#This Row],[BMI]]&lt;18.5,"Underweight",IF(Table1[[#This Row],[BMI]]&lt;25,"Normal",IF(Table1[[#This Row],[BMI]]&lt;30,"Overweight","Obese")))</f>
        <v>Obese</v>
      </c>
      <c r="H199">
        <v>33.299999999999997</v>
      </c>
      <c r="I199">
        <v>1.2509999999999999</v>
      </c>
      <c r="J199" t="str">
        <f>IF(Table1[[#This Row],[Age]]&lt;30,"Young (&lt;30)",IF(Table1[[#This Row],[Age]]&lt;=50,"Middle Age (30-50)","Older (&gt;50)"))</f>
        <v>Young (&lt;30)</v>
      </c>
      <c r="K199">
        <v>24</v>
      </c>
      <c r="L199">
        <v>0</v>
      </c>
    </row>
    <row r="200" spans="1:12" x14ac:dyDescent="0.3">
      <c r="A200">
        <v>1</v>
      </c>
      <c r="B200" t="str">
        <f>IF(Table1[[#This Row],[Glucose]]&lt;100,"Normal",IF(Table1[[#This Row],[Glucose]]&lt;126,"Prediabetes","High Risk"))</f>
        <v>Normal</v>
      </c>
      <c r="C200">
        <v>88</v>
      </c>
      <c r="D200">
        <v>78</v>
      </c>
      <c r="E200">
        <v>29</v>
      </c>
      <c r="F200">
        <v>76</v>
      </c>
      <c r="G200" t="str">
        <f>IF(Table1[[#This Row],[BMI]]&lt;18.5,"Underweight",IF(Table1[[#This Row],[BMI]]&lt;25,"Normal",IF(Table1[[#This Row],[BMI]]&lt;30,"Overweight","Obese")))</f>
        <v>Obese</v>
      </c>
      <c r="H200">
        <v>32</v>
      </c>
      <c r="I200">
        <v>0.36499999999999999</v>
      </c>
      <c r="J200" t="str">
        <f>IF(Table1[[#This Row],[Age]]&lt;30,"Young (&lt;30)",IF(Table1[[#This Row],[Age]]&lt;=50,"Middle Age (30-50)","Older (&gt;50)"))</f>
        <v>Young (&lt;30)</v>
      </c>
      <c r="K200">
        <v>29</v>
      </c>
      <c r="L200">
        <v>0</v>
      </c>
    </row>
    <row r="201" spans="1:12" x14ac:dyDescent="0.3">
      <c r="A201">
        <v>1</v>
      </c>
      <c r="B201" t="str">
        <f>IF(Table1[[#This Row],[Glucose]]&lt;100,"Normal",IF(Table1[[#This Row],[Glucose]]&lt;126,"Prediabetes","High Risk"))</f>
        <v>High Risk</v>
      </c>
      <c r="C201">
        <v>164</v>
      </c>
      <c r="D201">
        <v>82</v>
      </c>
      <c r="E201">
        <v>43</v>
      </c>
      <c r="F201">
        <v>67</v>
      </c>
      <c r="G201" t="str">
        <f>IF(Table1[[#This Row],[BMI]]&lt;18.5,"Underweight",IF(Table1[[#This Row],[BMI]]&lt;25,"Normal",IF(Table1[[#This Row],[BMI]]&lt;30,"Overweight","Obese")))</f>
        <v>Obese</v>
      </c>
      <c r="H201">
        <v>32.799999999999997</v>
      </c>
      <c r="I201">
        <v>0.34100000000000003</v>
      </c>
      <c r="J201" t="str">
        <f>IF(Table1[[#This Row],[Age]]&lt;30,"Young (&lt;30)",IF(Table1[[#This Row],[Age]]&lt;=50,"Middle Age (30-50)","Older (&gt;50)"))</f>
        <v>Middle Age (30-50)</v>
      </c>
      <c r="K201">
        <v>50</v>
      </c>
      <c r="L201">
        <v>0</v>
      </c>
    </row>
    <row r="202" spans="1:12" x14ac:dyDescent="0.3">
      <c r="A202">
        <v>1</v>
      </c>
      <c r="B202" t="str">
        <f>IF(Table1[[#This Row],[Glucose]]&lt;100,"Normal",IF(Table1[[#This Row],[Glucose]]&lt;126,"Prediabetes","High Risk"))</f>
        <v>Prediabetes</v>
      </c>
      <c r="C202">
        <v>116</v>
      </c>
      <c r="D202">
        <v>70</v>
      </c>
      <c r="E202">
        <v>28</v>
      </c>
      <c r="F202">
        <v>0</v>
      </c>
      <c r="G202" t="str">
        <f>IF(Table1[[#This Row],[BMI]]&lt;18.5,"Underweight",IF(Table1[[#This Row],[BMI]]&lt;25,"Normal",IF(Table1[[#This Row],[BMI]]&lt;30,"Overweight","Obese")))</f>
        <v>Overweight</v>
      </c>
      <c r="H202">
        <v>27.4</v>
      </c>
      <c r="I202">
        <v>0.20399999999999999</v>
      </c>
      <c r="J202" t="str">
        <f>IF(Table1[[#This Row],[Age]]&lt;30,"Young (&lt;30)",IF(Table1[[#This Row],[Age]]&lt;=50,"Middle Age (30-50)","Older (&gt;50)"))</f>
        <v>Young (&lt;30)</v>
      </c>
      <c r="K202">
        <v>21</v>
      </c>
      <c r="L202">
        <v>0</v>
      </c>
    </row>
    <row r="203" spans="1:12" x14ac:dyDescent="0.3">
      <c r="A203">
        <v>1</v>
      </c>
      <c r="B203" t="str">
        <f>IF(Table1[[#This Row],[Glucose]]&lt;100,"Normal",IF(Table1[[#This Row],[Glucose]]&lt;126,"Prediabetes","High Risk"))</f>
        <v>Normal</v>
      </c>
      <c r="C203">
        <v>88</v>
      </c>
      <c r="D203">
        <v>62</v>
      </c>
      <c r="E203">
        <v>24</v>
      </c>
      <c r="F203">
        <v>44</v>
      </c>
      <c r="G203" t="str">
        <f>IF(Table1[[#This Row],[BMI]]&lt;18.5,"Underweight",IF(Table1[[#This Row],[BMI]]&lt;25,"Normal",IF(Table1[[#This Row],[BMI]]&lt;30,"Overweight","Obese")))</f>
        <v>Overweight</v>
      </c>
      <c r="H203">
        <v>29.9</v>
      </c>
      <c r="I203">
        <v>0.42199999999999999</v>
      </c>
      <c r="J203" t="str">
        <f>IF(Table1[[#This Row],[Age]]&lt;30,"Young (&lt;30)",IF(Table1[[#This Row],[Age]]&lt;=50,"Middle Age (30-50)","Older (&gt;50)"))</f>
        <v>Young (&lt;30)</v>
      </c>
      <c r="K203">
        <v>23</v>
      </c>
      <c r="L203">
        <v>0</v>
      </c>
    </row>
    <row r="204" spans="1:12" x14ac:dyDescent="0.3">
      <c r="A204">
        <v>1</v>
      </c>
      <c r="B204" t="str">
        <f>IF(Table1[[#This Row],[Glucose]]&lt;100,"Normal",IF(Table1[[#This Row],[Glucose]]&lt;126,"Prediabetes","High Risk"))</f>
        <v>Normal</v>
      </c>
      <c r="C204">
        <v>84</v>
      </c>
      <c r="D204">
        <v>64</v>
      </c>
      <c r="E204">
        <v>23</v>
      </c>
      <c r="F204">
        <v>115</v>
      </c>
      <c r="G204" t="str">
        <f>IF(Table1[[#This Row],[BMI]]&lt;18.5,"Underweight",IF(Table1[[#This Row],[BMI]]&lt;25,"Normal",IF(Table1[[#This Row],[BMI]]&lt;30,"Overweight","Obese")))</f>
        <v>Obese</v>
      </c>
      <c r="H204">
        <v>36.9</v>
      </c>
      <c r="I204">
        <v>0.47099999999999997</v>
      </c>
      <c r="J204" t="str">
        <f>IF(Table1[[#This Row],[Age]]&lt;30,"Young (&lt;30)",IF(Table1[[#This Row],[Age]]&lt;=50,"Middle Age (30-50)","Older (&gt;50)"))</f>
        <v>Young (&lt;30)</v>
      </c>
      <c r="K204">
        <v>28</v>
      </c>
      <c r="L204">
        <v>0</v>
      </c>
    </row>
    <row r="205" spans="1:12" x14ac:dyDescent="0.3">
      <c r="A205">
        <v>1</v>
      </c>
      <c r="B205" t="str">
        <f>IF(Table1[[#This Row],[Glucose]]&lt;100,"Normal",IF(Table1[[#This Row],[Glucose]]&lt;126,"Prediabetes","High Risk"))</f>
        <v>Normal</v>
      </c>
      <c r="C205">
        <v>97</v>
      </c>
      <c r="D205">
        <v>70</v>
      </c>
      <c r="E205">
        <v>40</v>
      </c>
      <c r="F205">
        <v>0</v>
      </c>
      <c r="G205" t="str">
        <f>IF(Table1[[#This Row],[BMI]]&lt;18.5,"Underweight",IF(Table1[[#This Row],[BMI]]&lt;25,"Normal",IF(Table1[[#This Row],[BMI]]&lt;30,"Overweight","Obese")))</f>
        <v>Obese</v>
      </c>
      <c r="H205">
        <v>38.1</v>
      </c>
      <c r="I205">
        <v>0.218</v>
      </c>
      <c r="J205" t="str">
        <f>IF(Table1[[#This Row],[Age]]&lt;30,"Young (&lt;30)",IF(Table1[[#This Row],[Age]]&lt;=50,"Middle Age (30-50)","Older (&gt;50)"))</f>
        <v>Middle Age (30-50)</v>
      </c>
      <c r="K205">
        <v>30</v>
      </c>
      <c r="L205">
        <v>0</v>
      </c>
    </row>
    <row r="206" spans="1:12" x14ac:dyDescent="0.3">
      <c r="A206">
        <v>1</v>
      </c>
      <c r="B206" t="str">
        <f>IF(Table1[[#This Row],[Glucose]]&lt;100,"Normal",IF(Table1[[#This Row],[Glucose]]&lt;126,"Prediabetes","High Risk"))</f>
        <v>Normal</v>
      </c>
      <c r="C206">
        <v>87</v>
      </c>
      <c r="D206">
        <v>68</v>
      </c>
      <c r="E206">
        <v>34</v>
      </c>
      <c r="F206">
        <v>77</v>
      </c>
      <c r="G206" t="str">
        <f>IF(Table1[[#This Row],[BMI]]&lt;18.5,"Underweight",IF(Table1[[#This Row],[BMI]]&lt;25,"Normal",IF(Table1[[#This Row],[BMI]]&lt;30,"Overweight","Obese")))</f>
        <v>Obese</v>
      </c>
      <c r="H206">
        <v>37.6</v>
      </c>
      <c r="I206">
        <v>0.40100000000000002</v>
      </c>
      <c r="J206" t="str">
        <f>IF(Table1[[#This Row],[Age]]&lt;30,"Young (&lt;30)",IF(Table1[[#This Row],[Age]]&lt;=50,"Middle Age (30-50)","Older (&gt;50)"))</f>
        <v>Young (&lt;30)</v>
      </c>
      <c r="K206">
        <v>24</v>
      </c>
      <c r="L206">
        <v>0</v>
      </c>
    </row>
    <row r="207" spans="1:12" x14ac:dyDescent="0.3">
      <c r="A207">
        <v>1</v>
      </c>
      <c r="B207" t="str">
        <f>IF(Table1[[#This Row],[Glucose]]&lt;100,"Normal",IF(Table1[[#This Row],[Glucose]]&lt;126,"Prediabetes","High Risk"))</f>
        <v>Normal</v>
      </c>
      <c r="C207">
        <v>99</v>
      </c>
      <c r="D207">
        <v>72</v>
      </c>
      <c r="E207">
        <v>30</v>
      </c>
      <c r="F207">
        <v>18</v>
      </c>
      <c r="G207" t="str">
        <f>IF(Table1[[#This Row],[BMI]]&lt;18.5,"Underweight",IF(Table1[[#This Row],[BMI]]&lt;25,"Normal",IF(Table1[[#This Row],[BMI]]&lt;30,"Overweight","Obese")))</f>
        <v>Obese</v>
      </c>
      <c r="H207">
        <v>38.6</v>
      </c>
      <c r="I207">
        <v>0.41199999999999998</v>
      </c>
      <c r="J207" t="str">
        <f>IF(Table1[[#This Row],[Age]]&lt;30,"Young (&lt;30)",IF(Table1[[#This Row],[Age]]&lt;=50,"Middle Age (30-50)","Older (&gt;50)"))</f>
        <v>Young (&lt;30)</v>
      </c>
      <c r="K207">
        <v>21</v>
      </c>
      <c r="L207">
        <v>0</v>
      </c>
    </row>
    <row r="208" spans="1:12" x14ac:dyDescent="0.3">
      <c r="A208">
        <v>1</v>
      </c>
      <c r="B208" t="str">
        <f>IF(Table1[[#This Row],[Glucose]]&lt;100,"Normal",IF(Table1[[#This Row],[Glucose]]&lt;126,"Prediabetes","High Risk"))</f>
        <v>High Risk</v>
      </c>
      <c r="C208">
        <v>143</v>
      </c>
      <c r="D208">
        <v>86</v>
      </c>
      <c r="E208">
        <v>30</v>
      </c>
      <c r="F208">
        <v>330</v>
      </c>
      <c r="G208" t="str">
        <f>IF(Table1[[#This Row],[BMI]]&lt;18.5,"Underweight",IF(Table1[[#This Row],[BMI]]&lt;25,"Normal",IF(Table1[[#This Row],[BMI]]&lt;30,"Overweight","Obese")))</f>
        <v>Obese</v>
      </c>
      <c r="H208">
        <v>30.1</v>
      </c>
      <c r="I208">
        <v>0.89200000000000002</v>
      </c>
      <c r="J208" t="str">
        <f>IF(Table1[[#This Row],[Age]]&lt;30,"Young (&lt;30)",IF(Table1[[#This Row],[Age]]&lt;=50,"Middle Age (30-50)","Older (&gt;50)"))</f>
        <v>Young (&lt;30)</v>
      </c>
      <c r="K208">
        <v>23</v>
      </c>
      <c r="L208">
        <v>0</v>
      </c>
    </row>
    <row r="209" spans="1:12" x14ac:dyDescent="0.3">
      <c r="A209">
        <v>1</v>
      </c>
      <c r="B209" t="str">
        <f>IF(Table1[[#This Row],[Glucose]]&lt;100,"Normal",IF(Table1[[#This Row],[Glucose]]&lt;126,"Prediabetes","High Risk"))</f>
        <v>Prediabetes</v>
      </c>
      <c r="C209">
        <v>119</v>
      </c>
      <c r="D209">
        <v>44</v>
      </c>
      <c r="E209">
        <v>47</v>
      </c>
      <c r="F209">
        <v>63</v>
      </c>
      <c r="G209" t="str">
        <f>IF(Table1[[#This Row],[BMI]]&lt;18.5,"Underweight",IF(Table1[[#This Row],[BMI]]&lt;25,"Normal",IF(Table1[[#This Row],[BMI]]&lt;30,"Overweight","Obese")))</f>
        <v>Obese</v>
      </c>
      <c r="H209">
        <v>35.5</v>
      </c>
      <c r="I209">
        <v>0.28000000000000003</v>
      </c>
      <c r="J209" t="str">
        <f>IF(Table1[[#This Row],[Age]]&lt;30,"Young (&lt;30)",IF(Table1[[#This Row],[Age]]&lt;=50,"Middle Age (30-50)","Older (&gt;50)"))</f>
        <v>Young (&lt;30)</v>
      </c>
      <c r="K209">
        <v>25</v>
      </c>
      <c r="L209">
        <v>0</v>
      </c>
    </row>
    <row r="210" spans="1:12" x14ac:dyDescent="0.3">
      <c r="A210">
        <v>1</v>
      </c>
      <c r="B210" t="str">
        <f>IF(Table1[[#This Row],[Glucose]]&lt;100,"Normal",IF(Table1[[#This Row],[Glucose]]&lt;126,"Prediabetes","High Risk"))</f>
        <v>Normal</v>
      </c>
      <c r="C210">
        <v>93</v>
      </c>
      <c r="D210">
        <v>56</v>
      </c>
      <c r="E210">
        <v>11</v>
      </c>
      <c r="F210">
        <v>0</v>
      </c>
      <c r="G210" t="str">
        <f>IF(Table1[[#This Row],[BMI]]&lt;18.5,"Underweight",IF(Table1[[#This Row],[BMI]]&lt;25,"Normal",IF(Table1[[#This Row],[BMI]]&lt;30,"Overweight","Obese")))</f>
        <v>Normal</v>
      </c>
      <c r="H210">
        <v>22.5</v>
      </c>
      <c r="I210">
        <v>0.41699999999999998</v>
      </c>
      <c r="J210" t="str">
        <f>IF(Table1[[#This Row],[Age]]&lt;30,"Young (&lt;30)",IF(Table1[[#This Row],[Age]]&lt;=50,"Middle Age (30-50)","Older (&gt;50)"))</f>
        <v>Young (&lt;30)</v>
      </c>
      <c r="K210">
        <v>22</v>
      </c>
      <c r="L210">
        <v>0</v>
      </c>
    </row>
    <row r="211" spans="1:12" x14ac:dyDescent="0.3">
      <c r="A211">
        <v>1</v>
      </c>
      <c r="B211" t="str">
        <f>IF(Table1[[#This Row],[Glucose]]&lt;100,"Normal",IF(Table1[[#This Row],[Glucose]]&lt;126,"Prediabetes","High Risk"))</f>
        <v>Normal</v>
      </c>
      <c r="C211">
        <v>89</v>
      </c>
      <c r="D211">
        <v>24</v>
      </c>
      <c r="E211">
        <v>19</v>
      </c>
      <c r="F211">
        <v>25</v>
      </c>
      <c r="G211" t="str">
        <f>IF(Table1[[#This Row],[BMI]]&lt;18.5,"Underweight",IF(Table1[[#This Row],[BMI]]&lt;25,"Normal",IF(Table1[[#This Row],[BMI]]&lt;30,"Overweight","Obese")))</f>
        <v>Overweight</v>
      </c>
      <c r="H211">
        <v>27.8</v>
      </c>
      <c r="I211">
        <v>0.55900000000000005</v>
      </c>
      <c r="J211" t="str">
        <f>IF(Table1[[#This Row],[Age]]&lt;30,"Young (&lt;30)",IF(Table1[[#This Row],[Age]]&lt;=50,"Middle Age (30-50)","Older (&gt;50)"))</f>
        <v>Young (&lt;30)</v>
      </c>
      <c r="K211">
        <v>21</v>
      </c>
      <c r="L211">
        <v>0</v>
      </c>
    </row>
    <row r="212" spans="1:12" x14ac:dyDescent="0.3">
      <c r="A212">
        <v>1</v>
      </c>
      <c r="B212" t="str">
        <f>IF(Table1[[#This Row],[Glucose]]&lt;100,"Normal",IF(Table1[[#This Row],[Glucose]]&lt;126,"Prediabetes","High Risk"))</f>
        <v>High Risk</v>
      </c>
      <c r="C212">
        <v>173</v>
      </c>
      <c r="D212">
        <v>74</v>
      </c>
      <c r="E212">
        <v>0</v>
      </c>
      <c r="F212">
        <v>0</v>
      </c>
      <c r="G212" t="str">
        <f>IF(Table1[[#This Row],[BMI]]&lt;18.5,"Underweight",IF(Table1[[#This Row],[BMI]]&lt;25,"Normal",IF(Table1[[#This Row],[BMI]]&lt;30,"Overweight","Obese")))</f>
        <v>Obese</v>
      </c>
      <c r="H212">
        <v>36.799999999999997</v>
      </c>
      <c r="I212">
        <v>8.7999999999999995E-2</v>
      </c>
      <c r="J212" t="str">
        <f>IF(Table1[[#This Row],[Age]]&lt;30,"Young (&lt;30)",IF(Table1[[#This Row],[Age]]&lt;=50,"Middle Age (30-50)","Older (&gt;50)"))</f>
        <v>Middle Age (30-50)</v>
      </c>
      <c r="K212">
        <v>38</v>
      </c>
      <c r="L212">
        <v>1</v>
      </c>
    </row>
    <row r="213" spans="1:12" x14ac:dyDescent="0.3">
      <c r="A213">
        <v>1</v>
      </c>
      <c r="B213" t="str">
        <f>IF(Table1[[#This Row],[Glucose]]&lt;100,"Normal",IF(Table1[[#This Row],[Glucose]]&lt;126,"Prediabetes","High Risk"))</f>
        <v>Prediabetes</v>
      </c>
      <c r="C213">
        <v>109</v>
      </c>
      <c r="D213">
        <v>38</v>
      </c>
      <c r="E213">
        <v>18</v>
      </c>
      <c r="F213">
        <v>120</v>
      </c>
      <c r="G213" t="str">
        <f>IF(Table1[[#This Row],[BMI]]&lt;18.5,"Underweight",IF(Table1[[#This Row],[BMI]]&lt;25,"Normal",IF(Table1[[#This Row],[BMI]]&lt;30,"Overweight","Obese")))</f>
        <v>Normal</v>
      </c>
      <c r="H213">
        <v>23.1</v>
      </c>
      <c r="I213">
        <v>0.40699999999999997</v>
      </c>
      <c r="J213" t="str">
        <f>IF(Table1[[#This Row],[Age]]&lt;30,"Young (&lt;30)",IF(Table1[[#This Row],[Age]]&lt;=50,"Middle Age (30-50)","Older (&gt;50)"))</f>
        <v>Young (&lt;30)</v>
      </c>
      <c r="K213">
        <v>26</v>
      </c>
      <c r="L213">
        <v>0</v>
      </c>
    </row>
    <row r="214" spans="1:12" x14ac:dyDescent="0.3">
      <c r="A214">
        <v>1</v>
      </c>
      <c r="B214" t="str">
        <f>IF(Table1[[#This Row],[Glucose]]&lt;100,"Normal",IF(Table1[[#This Row],[Glucose]]&lt;126,"Prediabetes","High Risk"))</f>
        <v>Prediabetes</v>
      </c>
      <c r="C214">
        <v>108</v>
      </c>
      <c r="D214">
        <v>88</v>
      </c>
      <c r="E214">
        <v>19</v>
      </c>
      <c r="F214">
        <v>0</v>
      </c>
      <c r="G214" t="str">
        <f>IF(Table1[[#This Row],[BMI]]&lt;18.5,"Underweight",IF(Table1[[#This Row],[BMI]]&lt;25,"Normal",IF(Table1[[#This Row],[BMI]]&lt;30,"Overweight","Obese")))</f>
        <v>Overweight</v>
      </c>
      <c r="H214">
        <v>27.1</v>
      </c>
      <c r="I214">
        <v>0.4</v>
      </c>
      <c r="J214" t="str">
        <f>IF(Table1[[#This Row],[Age]]&lt;30,"Young (&lt;30)",IF(Table1[[#This Row],[Age]]&lt;=50,"Middle Age (30-50)","Older (&gt;50)"))</f>
        <v>Young (&lt;30)</v>
      </c>
      <c r="K214">
        <v>24</v>
      </c>
      <c r="L214">
        <v>0</v>
      </c>
    </row>
    <row r="215" spans="1:12" x14ac:dyDescent="0.3">
      <c r="A215">
        <v>1</v>
      </c>
      <c r="B215" t="str">
        <f>IF(Table1[[#This Row],[Glucose]]&lt;100,"Normal",IF(Table1[[#This Row],[Glucose]]&lt;126,"Prediabetes","High Risk"))</f>
        <v>Prediabetes</v>
      </c>
      <c r="C215">
        <v>124</v>
      </c>
      <c r="D215">
        <v>74</v>
      </c>
      <c r="E215">
        <v>36</v>
      </c>
      <c r="F215">
        <v>0</v>
      </c>
      <c r="G215" t="str">
        <f>IF(Table1[[#This Row],[BMI]]&lt;18.5,"Underweight",IF(Table1[[#This Row],[BMI]]&lt;25,"Normal",IF(Table1[[#This Row],[BMI]]&lt;30,"Overweight","Obese")))</f>
        <v>Overweight</v>
      </c>
      <c r="H215">
        <v>27.8</v>
      </c>
      <c r="I215">
        <v>0.1</v>
      </c>
      <c r="J215" t="str">
        <f>IF(Table1[[#This Row],[Age]]&lt;30,"Young (&lt;30)",IF(Table1[[#This Row],[Age]]&lt;=50,"Middle Age (30-50)","Older (&gt;50)"))</f>
        <v>Middle Age (30-50)</v>
      </c>
      <c r="K215">
        <v>30</v>
      </c>
      <c r="L215">
        <v>0</v>
      </c>
    </row>
    <row r="216" spans="1:12" x14ac:dyDescent="0.3">
      <c r="A216">
        <v>1</v>
      </c>
      <c r="B216" t="str">
        <f>IF(Table1[[#This Row],[Glucose]]&lt;100,"Normal",IF(Table1[[#This Row],[Glucose]]&lt;126,"Prediabetes","High Risk"))</f>
        <v>Prediabetes</v>
      </c>
      <c r="C216">
        <v>124</v>
      </c>
      <c r="D216">
        <v>60</v>
      </c>
      <c r="E216">
        <v>32</v>
      </c>
      <c r="F216">
        <v>0</v>
      </c>
      <c r="G216" t="str">
        <f>IF(Table1[[#This Row],[BMI]]&lt;18.5,"Underweight",IF(Table1[[#This Row],[BMI]]&lt;25,"Normal",IF(Table1[[#This Row],[BMI]]&lt;30,"Overweight","Obese")))</f>
        <v>Obese</v>
      </c>
      <c r="H216">
        <v>35.799999999999997</v>
      </c>
      <c r="I216">
        <v>0.51400000000000001</v>
      </c>
      <c r="J216" t="str">
        <f>IF(Table1[[#This Row],[Age]]&lt;30,"Young (&lt;30)",IF(Table1[[#This Row],[Age]]&lt;=50,"Middle Age (30-50)","Older (&gt;50)"))</f>
        <v>Young (&lt;30)</v>
      </c>
      <c r="K216">
        <v>21</v>
      </c>
      <c r="L216">
        <v>0</v>
      </c>
    </row>
    <row r="217" spans="1:12" x14ac:dyDescent="0.3">
      <c r="A217">
        <v>1</v>
      </c>
      <c r="B217" t="str">
        <f>IF(Table1[[#This Row],[Glucose]]&lt;100,"Normal",IF(Table1[[#This Row],[Glucose]]&lt;126,"Prediabetes","High Risk"))</f>
        <v>High Risk</v>
      </c>
      <c r="C217">
        <v>181</v>
      </c>
      <c r="D217">
        <v>78</v>
      </c>
      <c r="E217">
        <v>42</v>
      </c>
      <c r="F217">
        <v>293</v>
      </c>
      <c r="G217" t="str">
        <f>IF(Table1[[#This Row],[BMI]]&lt;18.5,"Underweight",IF(Table1[[#This Row],[BMI]]&lt;25,"Normal",IF(Table1[[#This Row],[BMI]]&lt;30,"Overweight","Obese")))</f>
        <v>Obese</v>
      </c>
      <c r="H217">
        <v>40</v>
      </c>
      <c r="I217">
        <v>1.258</v>
      </c>
      <c r="J217" t="str">
        <f>IF(Table1[[#This Row],[Age]]&lt;30,"Young (&lt;30)",IF(Table1[[#This Row],[Age]]&lt;=50,"Middle Age (30-50)","Older (&gt;50)"))</f>
        <v>Young (&lt;30)</v>
      </c>
      <c r="K217">
        <v>22</v>
      </c>
      <c r="L217">
        <v>1</v>
      </c>
    </row>
    <row r="218" spans="1:12" x14ac:dyDescent="0.3">
      <c r="A218">
        <v>1</v>
      </c>
      <c r="B218" t="str">
        <f>IF(Table1[[#This Row],[Glucose]]&lt;100,"Normal",IF(Table1[[#This Row],[Glucose]]&lt;126,"Prediabetes","High Risk"))</f>
        <v>Normal</v>
      </c>
      <c r="C218">
        <v>92</v>
      </c>
      <c r="D218">
        <v>62</v>
      </c>
      <c r="E218">
        <v>25</v>
      </c>
      <c r="F218">
        <v>41</v>
      </c>
      <c r="G218" t="str">
        <f>IF(Table1[[#This Row],[BMI]]&lt;18.5,"Underweight",IF(Table1[[#This Row],[BMI]]&lt;25,"Normal",IF(Table1[[#This Row],[BMI]]&lt;30,"Overweight","Obese")))</f>
        <v>Normal</v>
      </c>
      <c r="H218">
        <v>19.5</v>
      </c>
      <c r="I218">
        <v>0.48199999999999998</v>
      </c>
      <c r="J218" t="str">
        <f>IF(Table1[[#This Row],[Age]]&lt;30,"Young (&lt;30)",IF(Table1[[#This Row],[Age]]&lt;=50,"Middle Age (30-50)","Older (&gt;50)"))</f>
        <v>Young (&lt;30)</v>
      </c>
      <c r="K218">
        <v>25</v>
      </c>
      <c r="L218">
        <v>0</v>
      </c>
    </row>
    <row r="219" spans="1:12" x14ac:dyDescent="0.3">
      <c r="A219">
        <v>1</v>
      </c>
      <c r="B219" t="str">
        <f>IF(Table1[[#This Row],[Glucose]]&lt;100,"Normal",IF(Table1[[#This Row],[Glucose]]&lt;126,"Prediabetes","High Risk"))</f>
        <v>Prediabetes</v>
      </c>
      <c r="C219">
        <v>111</v>
      </c>
      <c r="D219">
        <v>62</v>
      </c>
      <c r="E219">
        <v>13</v>
      </c>
      <c r="F219">
        <v>182</v>
      </c>
      <c r="G219" t="str">
        <f>IF(Table1[[#This Row],[BMI]]&lt;18.5,"Underweight",IF(Table1[[#This Row],[BMI]]&lt;25,"Normal",IF(Table1[[#This Row],[BMI]]&lt;30,"Overweight","Obese")))</f>
        <v>Normal</v>
      </c>
      <c r="H219">
        <v>24</v>
      </c>
      <c r="I219">
        <v>0.13800000000000001</v>
      </c>
      <c r="J219" t="str">
        <f>IF(Table1[[#This Row],[Age]]&lt;30,"Young (&lt;30)",IF(Table1[[#This Row],[Age]]&lt;=50,"Middle Age (30-50)","Older (&gt;50)"))</f>
        <v>Young (&lt;30)</v>
      </c>
      <c r="K219">
        <v>23</v>
      </c>
      <c r="L219">
        <v>0</v>
      </c>
    </row>
    <row r="220" spans="1:12" x14ac:dyDescent="0.3">
      <c r="A220">
        <v>1</v>
      </c>
      <c r="B220" t="str">
        <f>IF(Table1[[#This Row],[Glucose]]&lt;100,"Normal",IF(Table1[[#This Row],[Glucose]]&lt;126,"Prediabetes","High Risk"))</f>
        <v>High Risk</v>
      </c>
      <c r="C220">
        <v>128</v>
      </c>
      <c r="D220">
        <v>82</v>
      </c>
      <c r="E220">
        <v>17</v>
      </c>
      <c r="F220">
        <v>183</v>
      </c>
      <c r="G220" t="str">
        <f>IF(Table1[[#This Row],[BMI]]&lt;18.5,"Underweight",IF(Table1[[#This Row],[BMI]]&lt;25,"Normal",IF(Table1[[#This Row],[BMI]]&lt;30,"Overweight","Obese")))</f>
        <v>Overweight</v>
      </c>
      <c r="H220">
        <v>27.5</v>
      </c>
      <c r="I220">
        <v>0.115</v>
      </c>
      <c r="J220" t="str">
        <f>IF(Table1[[#This Row],[Age]]&lt;30,"Young (&lt;30)",IF(Table1[[#This Row],[Age]]&lt;=50,"Middle Age (30-50)","Older (&gt;50)"))</f>
        <v>Young (&lt;30)</v>
      </c>
      <c r="K220">
        <v>22</v>
      </c>
      <c r="L220">
        <v>0</v>
      </c>
    </row>
    <row r="221" spans="1:12" x14ac:dyDescent="0.3">
      <c r="A221">
        <v>1</v>
      </c>
      <c r="B221" t="str">
        <f>IF(Table1[[#This Row],[Glucose]]&lt;100,"Normal",IF(Table1[[#This Row],[Glucose]]&lt;126,"Prediabetes","High Risk"))</f>
        <v>Prediabetes</v>
      </c>
      <c r="C221">
        <v>100</v>
      </c>
      <c r="D221">
        <v>74</v>
      </c>
      <c r="E221">
        <v>12</v>
      </c>
      <c r="F221">
        <v>46</v>
      </c>
      <c r="G221" t="str">
        <f>IF(Table1[[#This Row],[BMI]]&lt;18.5,"Underweight",IF(Table1[[#This Row],[BMI]]&lt;25,"Normal",IF(Table1[[#This Row],[BMI]]&lt;30,"Overweight","Obese")))</f>
        <v>Normal</v>
      </c>
      <c r="H221">
        <v>19.5</v>
      </c>
      <c r="I221">
        <v>0.14899999999999999</v>
      </c>
      <c r="J221" t="str">
        <f>IF(Table1[[#This Row],[Age]]&lt;30,"Young (&lt;30)",IF(Table1[[#This Row],[Age]]&lt;=50,"Middle Age (30-50)","Older (&gt;50)"))</f>
        <v>Young (&lt;30)</v>
      </c>
      <c r="K221">
        <v>28</v>
      </c>
      <c r="L221">
        <v>0</v>
      </c>
    </row>
    <row r="222" spans="1:12" x14ac:dyDescent="0.3">
      <c r="A222">
        <v>1</v>
      </c>
      <c r="B222" t="str">
        <f>IF(Table1[[#This Row],[Glucose]]&lt;100,"Normal",IF(Table1[[#This Row],[Glucose]]&lt;126,"Prediabetes","High Risk"))</f>
        <v>High Risk</v>
      </c>
      <c r="C222">
        <v>167</v>
      </c>
      <c r="D222">
        <v>74</v>
      </c>
      <c r="E222">
        <v>17</v>
      </c>
      <c r="F222">
        <v>144</v>
      </c>
      <c r="G222" t="str">
        <f>IF(Table1[[#This Row],[BMI]]&lt;18.5,"Underweight",IF(Table1[[#This Row],[BMI]]&lt;25,"Normal",IF(Table1[[#This Row],[BMI]]&lt;30,"Overweight","Obese")))</f>
        <v>Normal</v>
      </c>
      <c r="H222">
        <v>23.4</v>
      </c>
      <c r="I222">
        <v>0.44700000000000001</v>
      </c>
      <c r="J222" t="str">
        <f>IF(Table1[[#This Row],[Age]]&lt;30,"Young (&lt;30)",IF(Table1[[#This Row],[Age]]&lt;=50,"Middle Age (30-50)","Older (&gt;50)"))</f>
        <v>Middle Age (30-50)</v>
      </c>
      <c r="K222">
        <v>33</v>
      </c>
      <c r="L222">
        <v>1</v>
      </c>
    </row>
    <row r="223" spans="1:12" x14ac:dyDescent="0.3">
      <c r="A223">
        <v>1</v>
      </c>
      <c r="B223" t="str">
        <f>IF(Table1[[#This Row],[Glucose]]&lt;100,"Normal",IF(Table1[[#This Row],[Glucose]]&lt;126,"Prediabetes","High Risk"))</f>
        <v>Normal</v>
      </c>
      <c r="C223">
        <v>91</v>
      </c>
      <c r="D223">
        <v>54</v>
      </c>
      <c r="E223">
        <v>25</v>
      </c>
      <c r="F223">
        <v>100</v>
      </c>
      <c r="G223" t="str">
        <f>IF(Table1[[#This Row],[BMI]]&lt;18.5,"Underweight",IF(Table1[[#This Row],[BMI]]&lt;25,"Normal",IF(Table1[[#This Row],[BMI]]&lt;30,"Overweight","Obese")))</f>
        <v>Overweight</v>
      </c>
      <c r="H223">
        <v>25.2</v>
      </c>
      <c r="I223">
        <v>0.23400000000000001</v>
      </c>
      <c r="J223" t="str">
        <f>IF(Table1[[#This Row],[Age]]&lt;30,"Young (&lt;30)",IF(Table1[[#This Row],[Age]]&lt;=50,"Middle Age (30-50)","Older (&gt;50)"))</f>
        <v>Young (&lt;30)</v>
      </c>
      <c r="K223">
        <v>23</v>
      </c>
      <c r="L223">
        <v>0</v>
      </c>
    </row>
    <row r="224" spans="1:12" x14ac:dyDescent="0.3">
      <c r="A224">
        <v>1</v>
      </c>
      <c r="B224" t="str">
        <f>IF(Table1[[#This Row],[Glucose]]&lt;100,"Normal",IF(Table1[[#This Row],[Glucose]]&lt;126,"Prediabetes","High Risk"))</f>
        <v>Prediabetes</v>
      </c>
      <c r="C224">
        <v>117</v>
      </c>
      <c r="D224">
        <v>60</v>
      </c>
      <c r="E224">
        <v>23</v>
      </c>
      <c r="F224">
        <v>106</v>
      </c>
      <c r="G224" t="str">
        <f>IF(Table1[[#This Row],[BMI]]&lt;18.5,"Underweight",IF(Table1[[#This Row],[BMI]]&lt;25,"Normal",IF(Table1[[#This Row],[BMI]]&lt;30,"Overweight","Obese")))</f>
        <v>Obese</v>
      </c>
      <c r="H224">
        <v>33.799999999999997</v>
      </c>
      <c r="I224">
        <v>0.46600000000000003</v>
      </c>
      <c r="J224" t="str">
        <f>IF(Table1[[#This Row],[Age]]&lt;30,"Young (&lt;30)",IF(Table1[[#This Row],[Age]]&lt;=50,"Middle Age (30-50)","Older (&gt;50)"))</f>
        <v>Young (&lt;30)</v>
      </c>
      <c r="K224">
        <v>27</v>
      </c>
      <c r="L224">
        <v>0</v>
      </c>
    </row>
    <row r="225" spans="1:12" x14ac:dyDescent="0.3">
      <c r="A225">
        <v>1</v>
      </c>
      <c r="B225" t="str">
        <f>IF(Table1[[#This Row],[Glucose]]&lt;100,"Normal",IF(Table1[[#This Row],[Glucose]]&lt;126,"Prediabetes","High Risk"))</f>
        <v>Prediabetes</v>
      </c>
      <c r="C225">
        <v>106</v>
      </c>
      <c r="D225">
        <v>70</v>
      </c>
      <c r="E225">
        <v>28</v>
      </c>
      <c r="F225">
        <v>135</v>
      </c>
      <c r="G225" t="str">
        <f>IF(Table1[[#This Row],[BMI]]&lt;18.5,"Underweight",IF(Table1[[#This Row],[BMI]]&lt;25,"Normal",IF(Table1[[#This Row],[BMI]]&lt;30,"Overweight","Obese")))</f>
        <v>Obese</v>
      </c>
      <c r="H225">
        <v>34.200000000000003</v>
      </c>
      <c r="I225">
        <v>0.14199999999999999</v>
      </c>
      <c r="J225" t="str">
        <f>IF(Table1[[#This Row],[Age]]&lt;30,"Young (&lt;30)",IF(Table1[[#This Row],[Age]]&lt;=50,"Middle Age (30-50)","Older (&gt;50)"))</f>
        <v>Young (&lt;30)</v>
      </c>
      <c r="K225">
        <v>22</v>
      </c>
      <c r="L225">
        <v>0</v>
      </c>
    </row>
    <row r="226" spans="1:12" x14ac:dyDescent="0.3">
      <c r="A226">
        <v>1</v>
      </c>
      <c r="B226" t="str">
        <f>IF(Table1[[#This Row],[Glucose]]&lt;100,"Normal",IF(Table1[[#This Row],[Glucose]]&lt;126,"Prediabetes","High Risk"))</f>
        <v>Prediabetes</v>
      </c>
      <c r="C226">
        <v>120</v>
      </c>
      <c r="D226">
        <v>80</v>
      </c>
      <c r="E226">
        <v>48</v>
      </c>
      <c r="F226">
        <v>200</v>
      </c>
      <c r="G226" t="str">
        <f>IF(Table1[[#This Row],[BMI]]&lt;18.5,"Underweight",IF(Table1[[#This Row],[BMI]]&lt;25,"Normal",IF(Table1[[#This Row],[BMI]]&lt;30,"Overweight","Obese")))</f>
        <v>Obese</v>
      </c>
      <c r="H226">
        <v>38.9</v>
      </c>
      <c r="I226">
        <v>1.1619999999999999</v>
      </c>
      <c r="J226" t="str">
        <f>IF(Table1[[#This Row],[Age]]&lt;30,"Young (&lt;30)",IF(Table1[[#This Row],[Age]]&lt;=50,"Middle Age (30-50)","Older (&gt;50)"))</f>
        <v>Middle Age (30-50)</v>
      </c>
      <c r="K226">
        <v>41</v>
      </c>
      <c r="L226">
        <v>0</v>
      </c>
    </row>
    <row r="227" spans="1:12" x14ac:dyDescent="0.3">
      <c r="A227">
        <v>1</v>
      </c>
      <c r="B227" t="str">
        <f>IF(Table1[[#This Row],[Glucose]]&lt;100,"Normal",IF(Table1[[#This Row],[Glucose]]&lt;126,"Prediabetes","High Risk"))</f>
        <v>High Risk</v>
      </c>
      <c r="C227">
        <v>199</v>
      </c>
      <c r="D227">
        <v>76</v>
      </c>
      <c r="E227">
        <v>43</v>
      </c>
      <c r="F227">
        <v>0</v>
      </c>
      <c r="G227" t="str">
        <f>IF(Table1[[#This Row],[BMI]]&lt;18.5,"Underweight",IF(Table1[[#This Row],[BMI]]&lt;25,"Normal",IF(Table1[[#This Row],[BMI]]&lt;30,"Overweight","Obese")))</f>
        <v>Obese</v>
      </c>
      <c r="H227">
        <v>42.9</v>
      </c>
      <c r="I227">
        <v>1.3939999999999999</v>
      </c>
      <c r="J227" t="str">
        <f>IF(Table1[[#This Row],[Age]]&lt;30,"Young (&lt;30)",IF(Table1[[#This Row],[Age]]&lt;=50,"Middle Age (30-50)","Older (&gt;50)"))</f>
        <v>Young (&lt;30)</v>
      </c>
      <c r="K227">
        <v>22</v>
      </c>
      <c r="L227">
        <v>1</v>
      </c>
    </row>
    <row r="228" spans="1:12" x14ac:dyDescent="0.3">
      <c r="A228">
        <v>1</v>
      </c>
      <c r="B228" t="str">
        <f>IF(Table1[[#This Row],[Glucose]]&lt;100,"Normal",IF(Table1[[#This Row],[Glucose]]&lt;126,"Prediabetes","High Risk"))</f>
        <v>Prediabetes</v>
      </c>
      <c r="C228">
        <v>112</v>
      </c>
      <c r="D228">
        <v>80</v>
      </c>
      <c r="E228">
        <v>45</v>
      </c>
      <c r="F228">
        <v>132</v>
      </c>
      <c r="G228" t="str">
        <f>IF(Table1[[#This Row],[BMI]]&lt;18.5,"Underweight",IF(Table1[[#This Row],[BMI]]&lt;25,"Normal",IF(Table1[[#This Row],[BMI]]&lt;30,"Overweight","Obese")))</f>
        <v>Obese</v>
      </c>
      <c r="H228">
        <v>34.799999999999997</v>
      </c>
      <c r="I228">
        <v>0.217</v>
      </c>
      <c r="J228" t="str">
        <f>IF(Table1[[#This Row],[Age]]&lt;30,"Young (&lt;30)",IF(Table1[[#This Row],[Age]]&lt;=50,"Middle Age (30-50)","Older (&gt;50)"))</f>
        <v>Young (&lt;30)</v>
      </c>
      <c r="K228">
        <v>24</v>
      </c>
      <c r="L228">
        <v>0</v>
      </c>
    </row>
    <row r="229" spans="1:12" x14ac:dyDescent="0.3">
      <c r="A229">
        <v>1</v>
      </c>
      <c r="B229" t="str">
        <f>IF(Table1[[#This Row],[Glucose]]&lt;100,"Normal",IF(Table1[[#This Row],[Glucose]]&lt;126,"Prediabetes","High Risk"))</f>
        <v>Normal</v>
      </c>
      <c r="C229">
        <v>99</v>
      </c>
      <c r="D229">
        <v>58</v>
      </c>
      <c r="E229">
        <v>10</v>
      </c>
      <c r="F229">
        <v>0</v>
      </c>
      <c r="G229" t="str">
        <f>IF(Table1[[#This Row],[BMI]]&lt;18.5,"Underweight",IF(Table1[[#This Row],[BMI]]&lt;25,"Normal",IF(Table1[[#This Row],[BMI]]&lt;30,"Overweight","Obese")))</f>
        <v>Overweight</v>
      </c>
      <c r="H229">
        <v>25.4</v>
      </c>
      <c r="I229">
        <v>0.55100000000000005</v>
      </c>
      <c r="J229" t="str">
        <f>IF(Table1[[#This Row],[Age]]&lt;30,"Young (&lt;30)",IF(Table1[[#This Row],[Age]]&lt;=50,"Middle Age (30-50)","Older (&gt;50)"))</f>
        <v>Young (&lt;30)</v>
      </c>
      <c r="K229">
        <v>21</v>
      </c>
      <c r="L229">
        <v>0</v>
      </c>
    </row>
    <row r="230" spans="1:12" x14ac:dyDescent="0.3">
      <c r="A230">
        <v>1</v>
      </c>
      <c r="B230" t="str">
        <f>IF(Table1[[#This Row],[Glucose]]&lt;100,"Normal",IF(Table1[[#This Row],[Glucose]]&lt;126,"Prediabetes","High Risk"))</f>
        <v>Prediabetes</v>
      </c>
      <c r="C230">
        <v>107</v>
      </c>
      <c r="D230">
        <v>50</v>
      </c>
      <c r="E230">
        <v>19</v>
      </c>
      <c r="F230">
        <v>0</v>
      </c>
      <c r="G230" t="str">
        <f>IF(Table1[[#This Row],[BMI]]&lt;18.5,"Underweight",IF(Table1[[#This Row],[BMI]]&lt;25,"Normal",IF(Table1[[#This Row],[BMI]]&lt;30,"Overweight","Obese")))</f>
        <v>Overweight</v>
      </c>
      <c r="H230">
        <v>28.3</v>
      </c>
      <c r="I230">
        <v>0.18099999999999999</v>
      </c>
      <c r="J230" t="str">
        <f>IF(Table1[[#This Row],[Age]]&lt;30,"Young (&lt;30)",IF(Table1[[#This Row],[Age]]&lt;=50,"Middle Age (30-50)","Older (&gt;50)"))</f>
        <v>Young (&lt;30)</v>
      </c>
      <c r="K230">
        <v>29</v>
      </c>
      <c r="L230">
        <v>0</v>
      </c>
    </row>
    <row r="231" spans="1:12" x14ac:dyDescent="0.3">
      <c r="A231">
        <v>1</v>
      </c>
      <c r="B231" t="str">
        <f>IF(Table1[[#This Row],[Glucose]]&lt;100,"Normal",IF(Table1[[#This Row],[Glucose]]&lt;126,"Prediabetes","High Risk"))</f>
        <v>High Risk</v>
      </c>
      <c r="C231">
        <v>140</v>
      </c>
      <c r="D231">
        <v>74</v>
      </c>
      <c r="E231">
        <v>26</v>
      </c>
      <c r="F231">
        <v>180</v>
      </c>
      <c r="G231" t="str">
        <f>IF(Table1[[#This Row],[BMI]]&lt;18.5,"Underweight",IF(Table1[[#This Row],[BMI]]&lt;25,"Normal",IF(Table1[[#This Row],[BMI]]&lt;30,"Overweight","Obese")))</f>
        <v>Normal</v>
      </c>
      <c r="H231">
        <v>24.1</v>
      </c>
      <c r="I231">
        <v>0.82799999999999996</v>
      </c>
      <c r="J231" t="str">
        <f>IF(Table1[[#This Row],[Age]]&lt;30,"Young (&lt;30)",IF(Table1[[#This Row],[Age]]&lt;=50,"Middle Age (30-50)","Older (&gt;50)"))</f>
        <v>Young (&lt;30)</v>
      </c>
      <c r="K231">
        <v>23</v>
      </c>
      <c r="L231">
        <v>0</v>
      </c>
    </row>
    <row r="232" spans="1:12" x14ac:dyDescent="0.3">
      <c r="A232">
        <v>1</v>
      </c>
      <c r="B232" t="str">
        <f>IF(Table1[[#This Row],[Glucose]]&lt;100,"Normal",IF(Table1[[#This Row],[Glucose]]&lt;126,"Prediabetes","High Risk"))</f>
        <v>High Risk</v>
      </c>
      <c r="C232">
        <v>144</v>
      </c>
      <c r="D232">
        <v>82</v>
      </c>
      <c r="E232">
        <v>46</v>
      </c>
      <c r="F232">
        <v>180</v>
      </c>
      <c r="G232" t="str">
        <f>IF(Table1[[#This Row],[BMI]]&lt;18.5,"Underweight",IF(Table1[[#This Row],[BMI]]&lt;25,"Normal",IF(Table1[[#This Row],[BMI]]&lt;30,"Overweight","Obese")))</f>
        <v>Obese</v>
      </c>
      <c r="H232">
        <v>46.1</v>
      </c>
      <c r="I232">
        <v>0.33500000000000002</v>
      </c>
      <c r="J232" t="str">
        <f>IF(Table1[[#This Row],[Age]]&lt;30,"Young (&lt;30)",IF(Table1[[#This Row],[Age]]&lt;=50,"Middle Age (30-50)","Older (&gt;50)"))</f>
        <v>Middle Age (30-50)</v>
      </c>
      <c r="K232">
        <v>46</v>
      </c>
      <c r="L232">
        <v>1</v>
      </c>
    </row>
    <row r="233" spans="1:12" x14ac:dyDescent="0.3">
      <c r="A233">
        <v>1</v>
      </c>
      <c r="B233" t="str">
        <f>IF(Table1[[#This Row],[Glucose]]&lt;100,"Normal",IF(Table1[[#This Row],[Glucose]]&lt;126,"Prediabetes","High Risk"))</f>
        <v>High Risk</v>
      </c>
      <c r="C233">
        <v>168</v>
      </c>
      <c r="D233">
        <v>88</v>
      </c>
      <c r="E233">
        <v>29</v>
      </c>
      <c r="F233">
        <v>0</v>
      </c>
      <c r="G233" t="str">
        <f>IF(Table1[[#This Row],[BMI]]&lt;18.5,"Underweight",IF(Table1[[#This Row],[BMI]]&lt;25,"Normal",IF(Table1[[#This Row],[BMI]]&lt;30,"Overweight","Obese")))</f>
        <v>Obese</v>
      </c>
      <c r="H233">
        <v>35</v>
      </c>
      <c r="I233">
        <v>0.90500000000000003</v>
      </c>
      <c r="J233" t="str">
        <f>IF(Table1[[#This Row],[Age]]&lt;30,"Young (&lt;30)",IF(Table1[[#This Row],[Age]]&lt;=50,"Middle Age (30-50)","Older (&gt;50)"))</f>
        <v>Older (&gt;50)</v>
      </c>
      <c r="K233">
        <v>52</v>
      </c>
      <c r="L233">
        <v>1</v>
      </c>
    </row>
    <row r="234" spans="1:12" x14ac:dyDescent="0.3">
      <c r="A234">
        <v>1</v>
      </c>
      <c r="B234" t="str">
        <f>IF(Table1[[#This Row],[Glucose]]&lt;100,"Normal",IF(Table1[[#This Row],[Glucose]]&lt;126,"Prediabetes","High Risk"))</f>
        <v>Prediabetes</v>
      </c>
      <c r="C234">
        <v>108</v>
      </c>
      <c r="D234">
        <v>60</v>
      </c>
      <c r="E234">
        <v>46</v>
      </c>
      <c r="F234">
        <v>178</v>
      </c>
      <c r="G234" t="str">
        <f>IF(Table1[[#This Row],[BMI]]&lt;18.5,"Underweight",IF(Table1[[#This Row],[BMI]]&lt;25,"Normal",IF(Table1[[#This Row],[BMI]]&lt;30,"Overweight","Obese")))</f>
        <v>Obese</v>
      </c>
      <c r="H234">
        <v>35.5</v>
      </c>
      <c r="I234">
        <v>0.41499999999999998</v>
      </c>
      <c r="J234" t="str">
        <f>IF(Table1[[#This Row],[Age]]&lt;30,"Young (&lt;30)",IF(Table1[[#This Row],[Age]]&lt;=50,"Middle Age (30-50)","Older (&gt;50)"))</f>
        <v>Young (&lt;30)</v>
      </c>
      <c r="K234">
        <v>24</v>
      </c>
      <c r="L234">
        <v>0</v>
      </c>
    </row>
    <row r="235" spans="1:12" x14ac:dyDescent="0.3">
      <c r="A235">
        <v>1</v>
      </c>
      <c r="B235" t="str">
        <f>IF(Table1[[#This Row],[Glucose]]&lt;100,"Normal",IF(Table1[[#This Row],[Glucose]]&lt;126,"Prediabetes","High Risk"))</f>
        <v>Prediabetes</v>
      </c>
      <c r="C235">
        <v>114</v>
      </c>
      <c r="D235">
        <v>66</v>
      </c>
      <c r="E235">
        <v>36</v>
      </c>
      <c r="F235">
        <v>200</v>
      </c>
      <c r="G235" t="str">
        <f>IF(Table1[[#This Row],[BMI]]&lt;18.5,"Underweight",IF(Table1[[#This Row],[BMI]]&lt;25,"Normal",IF(Table1[[#This Row],[BMI]]&lt;30,"Overweight","Obese")))</f>
        <v>Obese</v>
      </c>
      <c r="H235">
        <v>38.1</v>
      </c>
      <c r="I235">
        <v>0.28899999999999998</v>
      </c>
      <c r="J235" t="str">
        <f>IF(Table1[[#This Row],[Age]]&lt;30,"Young (&lt;30)",IF(Table1[[#This Row],[Age]]&lt;=50,"Middle Age (30-50)","Older (&gt;50)"))</f>
        <v>Young (&lt;30)</v>
      </c>
      <c r="K235">
        <v>21</v>
      </c>
      <c r="L235">
        <v>0</v>
      </c>
    </row>
    <row r="236" spans="1:12" x14ac:dyDescent="0.3">
      <c r="A236">
        <v>1</v>
      </c>
      <c r="B236" t="str">
        <f>IF(Table1[[#This Row],[Glucose]]&lt;100,"Normal",IF(Table1[[#This Row],[Glucose]]&lt;126,"Prediabetes","High Risk"))</f>
        <v>High Risk</v>
      </c>
      <c r="C236">
        <v>149</v>
      </c>
      <c r="D236">
        <v>68</v>
      </c>
      <c r="E236">
        <v>29</v>
      </c>
      <c r="F236">
        <v>127</v>
      </c>
      <c r="G236" t="str">
        <f>IF(Table1[[#This Row],[BMI]]&lt;18.5,"Underweight",IF(Table1[[#This Row],[BMI]]&lt;25,"Normal",IF(Table1[[#This Row],[BMI]]&lt;30,"Overweight","Obese")))</f>
        <v>Overweight</v>
      </c>
      <c r="H236">
        <v>29.3</v>
      </c>
      <c r="I236">
        <v>0.34899999999999998</v>
      </c>
      <c r="J236" t="str">
        <f>IF(Table1[[#This Row],[Age]]&lt;30,"Young (&lt;30)",IF(Table1[[#This Row],[Age]]&lt;=50,"Middle Age (30-50)","Older (&gt;50)"))</f>
        <v>Middle Age (30-50)</v>
      </c>
      <c r="K236">
        <v>42</v>
      </c>
      <c r="L236">
        <v>1</v>
      </c>
    </row>
    <row r="237" spans="1:12" x14ac:dyDescent="0.3">
      <c r="A237">
        <v>1</v>
      </c>
      <c r="B237" t="str">
        <f>IF(Table1[[#This Row],[Glucose]]&lt;100,"Normal",IF(Table1[[#This Row],[Glucose]]&lt;126,"Prediabetes","High Risk"))</f>
        <v>Prediabetes</v>
      </c>
      <c r="C237">
        <v>111</v>
      </c>
      <c r="D237">
        <v>94</v>
      </c>
      <c r="E237">
        <v>0</v>
      </c>
      <c r="F237">
        <v>0</v>
      </c>
      <c r="G237" t="str">
        <f>IF(Table1[[#This Row],[BMI]]&lt;18.5,"Underweight",IF(Table1[[#This Row],[BMI]]&lt;25,"Normal",IF(Table1[[#This Row],[BMI]]&lt;30,"Overweight","Obese")))</f>
        <v>Obese</v>
      </c>
      <c r="H237">
        <v>32.799999999999997</v>
      </c>
      <c r="I237">
        <v>0.26500000000000001</v>
      </c>
      <c r="J237" t="str">
        <f>IF(Table1[[#This Row],[Age]]&lt;30,"Young (&lt;30)",IF(Table1[[#This Row],[Age]]&lt;=50,"Middle Age (30-50)","Older (&gt;50)"))</f>
        <v>Middle Age (30-50)</v>
      </c>
      <c r="K237">
        <v>45</v>
      </c>
      <c r="L237">
        <v>0</v>
      </c>
    </row>
    <row r="238" spans="1:12" x14ac:dyDescent="0.3">
      <c r="A238">
        <v>1</v>
      </c>
      <c r="B238" t="str">
        <f>IF(Table1[[#This Row],[Glucose]]&lt;100,"Normal",IF(Table1[[#This Row],[Glucose]]&lt;126,"Prediabetes","High Risk"))</f>
        <v>Prediabetes</v>
      </c>
      <c r="C238">
        <v>116</v>
      </c>
      <c r="D238">
        <v>78</v>
      </c>
      <c r="E238">
        <v>29</v>
      </c>
      <c r="F238">
        <v>180</v>
      </c>
      <c r="G238" t="str">
        <f>IF(Table1[[#This Row],[BMI]]&lt;18.5,"Underweight",IF(Table1[[#This Row],[BMI]]&lt;25,"Normal",IF(Table1[[#This Row],[BMI]]&lt;30,"Overweight","Obese")))</f>
        <v>Obese</v>
      </c>
      <c r="H238">
        <v>36.1</v>
      </c>
      <c r="I238">
        <v>0.496</v>
      </c>
      <c r="J238" t="str">
        <f>IF(Table1[[#This Row],[Age]]&lt;30,"Young (&lt;30)",IF(Table1[[#This Row],[Age]]&lt;=50,"Middle Age (30-50)","Older (&gt;50)"))</f>
        <v>Young (&lt;30)</v>
      </c>
      <c r="K238">
        <v>25</v>
      </c>
      <c r="L238">
        <v>0</v>
      </c>
    </row>
    <row r="239" spans="1:12" x14ac:dyDescent="0.3">
      <c r="A239">
        <v>1</v>
      </c>
      <c r="B239" t="str">
        <f>IF(Table1[[#This Row],[Glucose]]&lt;100,"Normal",IF(Table1[[#This Row],[Glucose]]&lt;126,"Prediabetes","High Risk"))</f>
        <v>Prediabetes</v>
      </c>
      <c r="C239">
        <v>102</v>
      </c>
      <c r="D239">
        <v>74</v>
      </c>
      <c r="E239">
        <v>0</v>
      </c>
      <c r="F239">
        <v>0</v>
      </c>
      <c r="G239" t="str">
        <f>IF(Table1[[#This Row],[BMI]]&lt;18.5,"Underweight",IF(Table1[[#This Row],[BMI]]&lt;25,"Normal",IF(Table1[[#This Row],[BMI]]&lt;30,"Overweight","Obese")))</f>
        <v>Obese</v>
      </c>
      <c r="H239">
        <v>39.5</v>
      </c>
      <c r="I239">
        <v>0.29299999999999998</v>
      </c>
      <c r="J239" t="str">
        <f>IF(Table1[[#This Row],[Age]]&lt;30,"Young (&lt;30)",IF(Table1[[#This Row],[Age]]&lt;=50,"Middle Age (30-50)","Older (&gt;50)"))</f>
        <v>Middle Age (30-50)</v>
      </c>
      <c r="K239">
        <v>42</v>
      </c>
      <c r="L239">
        <v>1</v>
      </c>
    </row>
    <row r="240" spans="1:12" x14ac:dyDescent="0.3">
      <c r="A240">
        <v>1</v>
      </c>
      <c r="B240" t="str">
        <f>IF(Table1[[#This Row],[Glucose]]&lt;100,"Normal",IF(Table1[[#This Row],[Glucose]]&lt;126,"Prediabetes","High Risk"))</f>
        <v>Prediabetes</v>
      </c>
      <c r="C240">
        <v>109</v>
      </c>
      <c r="D240">
        <v>58</v>
      </c>
      <c r="E240">
        <v>18</v>
      </c>
      <c r="F240">
        <v>116</v>
      </c>
      <c r="G240" t="str">
        <f>IF(Table1[[#This Row],[BMI]]&lt;18.5,"Underweight",IF(Table1[[#This Row],[BMI]]&lt;25,"Normal",IF(Table1[[#This Row],[BMI]]&lt;30,"Overweight","Obese")))</f>
        <v>Overweight</v>
      </c>
      <c r="H240">
        <v>28.5</v>
      </c>
      <c r="I240">
        <v>0.219</v>
      </c>
      <c r="J240" t="str">
        <f>IF(Table1[[#This Row],[Age]]&lt;30,"Young (&lt;30)",IF(Table1[[#This Row],[Age]]&lt;=50,"Middle Age (30-50)","Older (&gt;50)"))</f>
        <v>Young (&lt;30)</v>
      </c>
      <c r="K240">
        <v>22</v>
      </c>
      <c r="L240">
        <v>0</v>
      </c>
    </row>
    <row r="241" spans="1:12" x14ac:dyDescent="0.3">
      <c r="A241">
        <v>1</v>
      </c>
      <c r="B241" t="str">
        <f>IF(Table1[[#This Row],[Glucose]]&lt;100,"Normal",IF(Table1[[#This Row],[Glucose]]&lt;126,"Prediabetes","High Risk"))</f>
        <v>High Risk</v>
      </c>
      <c r="C241">
        <v>147</v>
      </c>
      <c r="D241">
        <v>94</v>
      </c>
      <c r="E241">
        <v>41</v>
      </c>
      <c r="F241">
        <v>0</v>
      </c>
      <c r="G241" t="str">
        <f>IF(Table1[[#This Row],[BMI]]&lt;18.5,"Underweight",IF(Table1[[#This Row],[BMI]]&lt;25,"Normal",IF(Table1[[#This Row],[BMI]]&lt;30,"Overweight","Obese")))</f>
        <v>Obese</v>
      </c>
      <c r="H241">
        <v>49.3</v>
      </c>
      <c r="I241">
        <v>0.35799999999999998</v>
      </c>
      <c r="J241" t="str">
        <f>IF(Table1[[#This Row],[Age]]&lt;30,"Young (&lt;30)",IF(Table1[[#This Row],[Age]]&lt;=50,"Middle Age (30-50)","Older (&gt;50)"))</f>
        <v>Young (&lt;30)</v>
      </c>
      <c r="K241">
        <v>27</v>
      </c>
      <c r="L241">
        <v>1</v>
      </c>
    </row>
    <row r="242" spans="1:12" x14ac:dyDescent="0.3">
      <c r="A242">
        <v>1</v>
      </c>
      <c r="B242" t="str">
        <f>IF(Table1[[#This Row],[Glucose]]&lt;100,"Normal",IF(Table1[[#This Row],[Glucose]]&lt;126,"Prediabetes","High Risk"))</f>
        <v>Normal</v>
      </c>
      <c r="C242">
        <v>81</v>
      </c>
      <c r="D242">
        <v>74</v>
      </c>
      <c r="E242">
        <v>41</v>
      </c>
      <c r="F242">
        <v>57</v>
      </c>
      <c r="G242" t="str">
        <f>IF(Table1[[#This Row],[BMI]]&lt;18.5,"Underweight",IF(Table1[[#This Row],[BMI]]&lt;25,"Normal",IF(Table1[[#This Row],[BMI]]&lt;30,"Overweight","Obese")))</f>
        <v>Obese</v>
      </c>
      <c r="H242">
        <v>46.3</v>
      </c>
      <c r="I242">
        <v>1.0960000000000001</v>
      </c>
      <c r="J242" t="str">
        <f>IF(Table1[[#This Row],[Age]]&lt;30,"Young (&lt;30)",IF(Table1[[#This Row],[Age]]&lt;=50,"Middle Age (30-50)","Older (&gt;50)"))</f>
        <v>Middle Age (30-50)</v>
      </c>
      <c r="K242">
        <v>32</v>
      </c>
      <c r="L242">
        <v>0</v>
      </c>
    </row>
    <row r="243" spans="1:12" x14ac:dyDescent="0.3">
      <c r="A243">
        <v>1</v>
      </c>
      <c r="B243" t="str">
        <f>IF(Table1[[#This Row],[Glucose]]&lt;100,"Normal",IF(Table1[[#This Row],[Glucose]]&lt;126,"Prediabetes","High Risk"))</f>
        <v>Prediabetes</v>
      </c>
      <c r="C243">
        <v>121</v>
      </c>
      <c r="D243">
        <v>78</v>
      </c>
      <c r="E243">
        <v>39</v>
      </c>
      <c r="F243">
        <v>74</v>
      </c>
      <c r="G243" t="str">
        <f>IF(Table1[[#This Row],[BMI]]&lt;18.5,"Underweight",IF(Table1[[#This Row],[BMI]]&lt;25,"Normal",IF(Table1[[#This Row],[BMI]]&lt;30,"Overweight","Obese")))</f>
        <v>Obese</v>
      </c>
      <c r="H243">
        <v>39</v>
      </c>
      <c r="I243">
        <v>0.26100000000000001</v>
      </c>
      <c r="J243" t="str">
        <f>IF(Table1[[#This Row],[Age]]&lt;30,"Young (&lt;30)",IF(Table1[[#This Row],[Age]]&lt;=50,"Middle Age (30-50)","Older (&gt;50)"))</f>
        <v>Young (&lt;30)</v>
      </c>
      <c r="K243">
        <v>28</v>
      </c>
      <c r="L243">
        <v>0</v>
      </c>
    </row>
    <row r="244" spans="1:12" x14ac:dyDescent="0.3">
      <c r="A244">
        <v>1</v>
      </c>
      <c r="B244" t="str">
        <f>IF(Table1[[#This Row],[Glucose]]&lt;100,"Normal",IF(Table1[[#This Row],[Glucose]]&lt;126,"Prediabetes","High Risk"))</f>
        <v>High Risk</v>
      </c>
      <c r="C244">
        <v>128</v>
      </c>
      <c r="D244">
        <v>88</v>
      </c>
      <c r="E244">
        <v>39</v>
      </c>
      <c r="F244">
        <v>110</v>
      </c>
      <c r="G244" t="str">
        <f>IF(Table1[[#This Row],[BMI]]&lt;18.5,"Underweight",IF(Table1[[#This Row],[BMI]]&lt;25,"Normal",IF(Table1[[#This Row],[BMI]]&lt;30,"Overweight","Obese")))</f>
        <v>Obese</v>
      </c>
      <c r="H244">
        <v>36.5</v>
      </c>
      <c r="I244">
        <v>1.0569999999999999</v>
      </c>
      <c r="J244" t="str">
        <f>IF(Table1[[#This Row],[Age]]&lt;30,"Young (&lt;30)",IF(Table1[[#This Row],[Age]]&lt;=50,"Middle Age (30-50)","Older (&gt;50)"))</f>
        <v>Middle Age (30-50)</v>
      </c>
      <c r="K244">
        <v>37</v>
      </c>
      <c r="L244">
        <v>1</v>
      </c>
    </row>
    <row r="245" spans="1:12" x14ac:dyDescent="0.3">
      <c r="A245">
        <v>1</v>
      </c>
      <c r="B245" t="str">
        <f>IF(Table1[[#This Row],[Glucose]]&lt;100,"Normal",IF(Table1[[#This Row],[Glucose]]&lt;126,"Prediabetes","High Risk"))</f>
        <v>Prediabetes</v>
      </c>
      <c r="C245">
        <v>106</v>
      </c>
      <c r="D245">
        <v>76</v>
      </c>
      <c r="E245">
        <v>0</v>
      </c>
      <c r="F245">
        <v>0</v>
      </c>
      <c r="G245" t="str">
        <f>IF(Table1[[#This Row],[BMI]]&lt;18.5,"Underweight",IF(Table1[[#This Row],[BMI]]&lt;25,"Normal",IF(Table1[[#This Row],[BMI]]&lt;30,"Overweight","Obese")))</f>
        <v>Obese</v>
      </c>
      <c r="H245">
        <v>37.5</v>
      </c>
      <c r="I245">
        <v>0.19700000000000001</v>
      </c>
      <c r="J245" t="str">
        <f>IF(Table1[[#This Row],[Age]]&lt;30,"Young (&lt;30)",IF(Table1[[#This Row],[Age]]&lt;=50,"Middle Age (30-50)","Older (&gt;50)"))</f>
        <v>Young (&lt;30)</v>
      </c>
      <c r="K245">
        <v>26</v>
      </c>
      <c r="L245">
        <v>0</v>
      </c>
    </row>
    <row r="246" spans="1:12" x14ac:dyDescent="0.3">
      <c r="A246">
        <v>1</v>
      </c>
      <c r="B246" t="str">
        <f>IF(Table1[[#This Row],[Glucose]]&lt;100,"Normal",IF(Table1[[#This Row],[Glucose]]&lt;126,"Prediabetes","High Risk"))</f>
        <v>High Risk</v>
      </c>
      <c r="C246">
        <v>126</v>
      </c>
      <c r="D246">
        <v>60</v>
      </c>
      <c r="E246">
        <v>0</v>
      </c>
      <c r="F246">
        <v>0</v>
      </c>
      <c r="G246" t="str">
        <f>IF(Table1[[#This Row],[BMI]]&lt;18.5,"Underweight",IF(Table1[[#This Row],[BMI]]&lt;25,"Normal",IF(Table1[[#This Row],[BMI]]&lt;30,"Overweight","Obese")))</f>
        <v>Obese</v>
      </c>
      <c r="H246">
        <v>30.1</v>
      </c>
      <c r="I246">
        <v>0.34899999999999998</v>
      </c>
      <c r="J246" t="str">
        <f>IF(Table1[[#This Row],[Age]]&lt;30,"Young (&lt;30)",IF(Table1[[#This Row],[Age]]&lt;=50,"Middle Age (30-50)","Older (&gt;50)"))</f>
        <v>Middle Age (30-50)</v>
      </c>
      <c r="K246">
        <v>47</v>
      </c>
      <c r="L246">
        <v>1</v>
      </c>
    </row>
    <row r="247" spans="1:12" x14ac:dyDescent="0.3">
      <c r="A247">
        <v>1</v>
      </c>
      <c r="B247" t="str">
        <f>IF(Table1[[#This Row],[Glucose]]&lt;100,"Normal",IF(Table1[[#This Row],[Glucose]]&lt;126,"Prediabetes","High Risk"))</f>
        <v>Normal</v>
      </c>
      <c r="C247">
        <v>93</v>
      </c>
      <c r="D247">
        <v>70</v>
      </c>
      <c r="E247">
        <v>31</v>
      </c>
      <c r="F247">
        <v>0</v>
      </c>
      <c r="G247" t="str">
        <f>IF(Table1[[#This Row],[BMI]]&lt;18.5,"Underweight",IF(Table1[[#This Row],[BMI]]&lt;25,"Normal",IF(Table1[[#This Row],[BMI]]&lt;30,"Overweight","Obese")))</f>
        <v>Obese</v>
      </c>
      <c r="H247">
        <v>30.4</v>
      </c>
      <c r="I247">
        <v>0.315</v>
      </c>
      <c r="J247" t="str">
        <f>IF(Table1[[#This Row],[Age]]&lt;30,"Young (&lt;30)",IF(Table1[[#This Row],[Age]]&lt;=50,"Middle Age (30-50)","Older (&gt;50)"))</f>
        <v>Young (&lt;30)</v>
      </c>
      <c r="K247">
        <v>23</v>
      </c>
      <c r="L247">
        <v>0</v>
      </c>
    </row>
    <row r="248" spans="1:12" x14ac:dyDescent="0.3">
      <c r="A248">
        <v>2</v>
      </c>
      <c r="B248" t="str">
        <f>IF(Table1[[#This Row],[Glucose]]&lt;100,"Normal",IF(Table1[[#This Row],[Glucose]]&lt;126,"Prediabetes","High Risk"))</f>
        <v>High Risk</v>
      </c>
      <c r="C248">
        <v>197</v>
      </c>
      <c r="D248">
        <v>70</v>
      </c>
      <c r="E248">
        <v>45</v>
      </c>
      <c r="F248">
        <v>543</v>
      </c>
      <c r="G248" t="str">
        <f>IF(Table1[[#This Row],[BMI]]&lt;18.5,"Underweight",IF(Table1[[#This Row],[BMI]]&lt;25,"Normal",IF(Table1[[#This Row],[BMI]]&lt;30,"Overweight","Obese")))</f>
        <v>Obese</v>
      </c>
      <c r="H248">
        <v>30.5</v>
      </c>
      <c r="I248">
        <v>0.158</v>
      </c>
      <c r="J248" t="str">
        <f>IF(Table1[[#This Row],[Age]]&lt;30,"Young (&lt;30)",IF(Table1[[#This Row],[Age]]&lt;=50,"Middle Age (30-50)","Older (&gt;50)"))</f>
        <v>Older (&gt;50)</v>
      </c>
      <c r="K248">
        <v>53</v>
      </c>
      <c r="L248">
        <v>1</v>
      </c>
    </row>
    <row r="249" spans="1:12" x14ac:dyDescent="0.3">
      <c r="A249">
        <v>2</v>
      </c>
      <c r="B249" t="str">
        <f>IF(Table1[[#This Row],[Glucose]]&lt;100,"Normal",IF(Table1[[#This Row],[Glucose]]&lt;126,"Prediabetes","High Risk"))</f>
        <v>Normal</v>
      </c>
      <c r="C249">
        <v>90</v>
      </c>
      <c r="D249">
        <v>68</v>
      </c>
      <c r="E249">
        <v>42</v>
      </c>
      <c r="F249">
        <v>0</v>
      </c>
      <c r="G249" t="str">
        <f>IF(Table1[[#This Row],[BMI]]&lt;18.5,"Underweight",IF(Table1[[#This Row],[BMI]]&lt;25,"Normal",IF(Table1[[#This Row],[BMI]]&lt;30,"Overweight","Obese")))</f>
        <v>Obese</v>
      </c>
      <c r="H249">
        <v>38.200000000000003</v>
      </c>
      <c r="I249">
        <v>0.503</v>
      </c>
      <c r="J249" t="str">
        <f>IF(Table1[[#This Row],[Age]]&lt;30,"Young (&lt;30)",IF(Table1[[#This Row],[Age]]&lt;=50,"Middle Age (30-50)","Older (&gt;50)"))</f>
        <v>Young (&lt;30)</v>
      </c>
      <c r="K249">
        <v>27</v>
      </c>
      <c r="L249">
        <v>1</v>
      </c>
    </row>
    <row r="250" spans="1:12" x14ac:dyDescent="0.3">
      <c r="A250">
        <v>2</v>
      </c>
      <c r="B250" t="str">
        <f>IF(Table1[[#This Row],[Glucose]]&lt;100,"Normal",IF(Table1[[#This Row],[Glucose]]&lt;126,"Prediabetes","High Risk"))</f>
        <v>Normal</v>
      </c>
      <c r="C250">
        <v>71</v>
      </c>
      <c r="D250">
        <v>70</v>
      </c>
      <c r="E250">
        <v>27</v>
      </c>
      <c r="F250">
        <v>0</v>
      </c>
      <c r="G250" t="str">
        <f>IF(Table1[[#This Row],[BMI]]&lt;18.5,"Underweight",IF(Table1[[#This Row],[BMI]]&lt;25,"Normal",IF(Table1[[#This Row],[BMI]]&lt;30,"Overweight","Obese")))</f>
        <v>Overweight</v>
      </c>
      <c r="H250">
        <v>28</v>
      </c>
      <c r="I250">
        <v>0.58599999999999997</v>
      </c>
      <c r="J250" t="str">
        <f>IF(Table1[[#This Row],[Age]]&lt;30,"Young (&lt;30)",IF(Table1[[#This Row],[Age]]&lt;=50,"Middle Age (30-50)","Older (&gt;50)"))</f>
        <v>Young (&lt;30)</v>
      </c>
      <c r="K250">
        <v>22</v>
      </c>
      <c r="L250">
        <v>0</v>
      </c>
    </row>
    <row r="251" spans="1:12" x14ac:dyDescent="0.3">
      <c r="A251">
        <v>2</v>
      </c>
      <c r="B251" t="str">
        <f>IF(Table1[[#This Row],[Glucose]]&lt;100,"Normal",IF(Table1[[#This Row],[Glucose]]&lt;126,"Prediabetes","High Risk"))</f>
        <v>Normal</v>
      </c>
      <c r="C251">
        <v>84</v>
      </c>
      <c r="D251">
        <v>0</v>
      </c>
      <c r="E251">
        <v>0</v>
      </c>
      <c r="F251">
        <v>0</v>
      </c>
      <c r="G251" t="str">
        <f>IF(Table1[[#This Row],[BMI]]&lt;18.5,"Underweight",IF(Table1[[#This Row],[BMI]]&lt;25,"Normal",IF(Table1[[#This Row],[BMI]]&lt;30,"Overweight","Obese")))</f>
        <v>Underweight</v>
      </c>
      <c r="H251">
        <v>0</v>
      </c>
      <c r="I251">
        <v>0.30399999999999999</v>
      </c>
      <c r="J251" t="str">
        <f>IF(Table1[[#This Row],[Age]]&lt;30,"Young (&lt;30)",IF(Table1[[#This Row],[Age]]&lt;=50,"Middle Age (30-50)","Older (&gt;50)"))</f>
        <v>Young (&lt;30)</v>
      </c>
      <c r="K251">
        <v>21</v>
      </c>
      <c r="L251">
        <v>0</v>
      </c>
    </row>
    <row r="252" spans="1:12" x14ac:dyDescent="0.3">
      <c r="A252">
        <v>2</v>
      </c>
      <c r="B252" t="str">
        <f>IF(Table1[[#This Row],[Glucose]]&lt;100,"Normal",IF(Table1[[#This Row],[Glucose]]&lt;126,"Prediabetes","High Risk"))</f>
        <v>High Risk</v>
      </c>
      <c r="C252">
        <v>141</v>
      </c>
      <c r="D252">
        <v>58</v>
      </c>
      <c r="E252">
        <v>34</v>
      </c>
      <c r="F252">
        <v>128</v>
      </c>
      <c r="G252" t="str">
        <f>IF(Table1[[#This Row],[BMI]]&lt;18.5,"Underweight",IF(Table1[[#This Row],[BMI]]&lt;25,"Normal",IF(Table1[[#This Row],[BMI]]&lt;30,"Overweight","Obese")))</f>
        <v>Overweight</v>
      </c>
      <c r="H252">
        <v>25.4</v>
      </c>
      <c r="I252">
        <v>0.69899999999999995</v>
      </c>
      <c r="J252" t="str">
        <f>IF(Table1[[#This Row],[Age]]&lt;30,"Young (&lt;30)",IF(Table1[[#This Row],[Age]]&lt;=50,"Middle Age (30-50)","Older (&gt;50)"))</f>
        <v>Young (&lt;30)</v>
      </c>
      <c r="K252">
        <v>24</v>
      </c>
      <c r="L252">
        <v>0</v>
      </c>
    </row>
    <row r="253" spans="1:12" x14ac:dyDescent="0.3">
      <c r="A253">
        <v>2</v>
      </c>
      <c r="B253" t="str">
        <f>IF(Table1[[#This Row],[Glucose]]&lt;100,"Normal",IF(Table1[[#This Row],[Glucose]]&lt;126,"Prediabetes","High Risk"))</f>
        <v>Prediabetes</v>
      </c>
      <c r="C253">
        <v>109</v>
      </c>
      <c r="D253">
        <v>92</v>
      </c>
      <c r="E253">
        <v>0</v>
      </c>
      <c r="F253">
        <v>0</v>
      </c>
      <c r="G253" t="str">
        <f>IF(Table1[[#This Row],[BMI]]&lt;18.5,"Underweight",IF(Table1[[#This Row],[BMI]]&lt;25,"Normal",IF(Table1[[#This Row],[BMI]]&lt;30,"Overweight","Obese")))</f>
        <v>Obese</v>
      </c>
      <c r="H253">
        <v>42.7</v>
      </c>
      <c r="I253">
        <v>0.84499999999999997</v>
      </c>
      <c r="J253" t="str">
        <f>IF(Table1[[#This Row],[Age]]&lt;30,"Young (&lt;30)",IF(Table1[[#This Row],[Age]]&lt;=50,"Middle Age (30-50)","Older (&gt;50)"))</f>
        <v>Older (&gt;50)</v>
      </c>
      <c r="K253">
        <v>54</v>
      </c>
      <c r="L253">
        <v>0</v>
      </c>
    </row>
    <row r="254" spans="1:12" x14ac:dyDescent="0.3">
      <c r="A254">
        <v>2</v>
      </c>
      <c r="B254" t="str">
        <f>IF(Table1[[#This Row],[Glucose]]&lt;100,"Normal",IF(Table1[[#This Row],[Glucose]]&lt;126,"Prediabetes","High Risk"))</f>
        <v>Prediabetes</v>
      </c>
      <c r="C254">
        <v>100</v>
      </c>
      <c r="D254">
        <v>66</v>
      </c>
      <c r="E254">
        <v>20</v>
      </c>
      <c r="F254">
        <v>90</v>
      </c>
      <c r="G254" t="str">
        <f>IF(Table1[[#This Row],[BMI]]&lt;18.5,"Underweight",IF(Table1[[#This Row],[BMI]]&lt;25,"Normal",IF(Table1[[#This Row],[BMI]]&lt;30,"Overweight","Obese")))</f>
        <v>Obese</v>
      </c>
      <c r="H254">
        <v>32.9</v>
      </c>
      <c r="I254">
        <v>0.86699999999999999</v>
      </c>
      <c r="J254" t="str">
        <f>IF(Table1[[#This Row],[Age]]&lt;30,"Young (&lt;30)",IF(Table1[[#This Row],[Age]]&lt;=50,"Middle Age (30-50)","Older (&gt;50)"))</f>
        <v>Young (&lt;30)</v>
      </c>
      <c r="K254">
        <v>28</v>
      </c>
      <c r="L254">
        <v>1</v>
      </c>
    </row>
    <row r="255" spans="1:12" x14ac:dyDescent="0.3">
      <c r="A255">
        <v>2</v>
      </c>
      <c r="B255" t="str">
        <f>IF(Table1[[#This Row],[Glucose]]&lt;100,"Normal",IF(Table1[[#This Row],[Glucose]]&lt;126,"Prediabetes","High Risk"))</f>
        <v>Prediabetes</v>
      </c>
      <c r="C255">
        <v>112</v>
      </c>
      <c r="D255">
        <v>66</v>
      </c>
      <c r="E255">
        <v>22</v>
      </c>
      <c r="F255">
        <v>0</v>
      </c>
      <c r="G255" t="str">
        <f>IF(Table1[[#This Row],[BMI]]&lt;18.5,"Underweight",IF(Table1[[#This Row],[BMI]]&lt;25,"Normal",IF(Table1[[#This Row],[BMI]]&lt;30,"Overweight","Obese")))</f>
        <v>Overweight</v>
      </c>
      <c r="H255">
        <v>25</v>
      </c>
      <c r="I255">
        <v>0.307</v>
      </c>
      <c r="J255" t="str">
        <f>IF(Table1[[#This Row],[Age]]&lt;30,"Young (&lt;30)",IF(Table1[[#This Row],[Age]]&lt;=50,"Middle Age (30-50)","Older (&gt;50)"))</f>
        <v>Young (&lt;30)</v>
      </c>
      <c r="K255">
        <v>24</v>
      </c>
      <c r="L255">
        <v>0</v>
      </c>
    </row>
    <row r="256" spans="1:12" x14ac:dyDescent="0.3">
      <c r="A256">
        <v>2</v>
      </c>
      <c r="B256" t="str">
        <f>IF(Table1[[#This Row],[Glucose]]&lt;100,"Normal",IF(Table1[[#This Row],[Glucose]]&lt;126,"Prediabetes","High Risk"))</f>
        <v>Normal</v>
      </c>
      <c r="C256">
        <v>74</v>
      </c>
      <c r="D256">
        <v>0</v>
      </c>
      <c r="E256">
        <v>0</v>
      </c>
      <c r="F256">
        <v>0</v>
      </c>
      <c r="G256" t="str">
        <f>IF(Table1[[#This Row],[BMI]]&lt;18.5,"Underweight",IF(Table1[[#This Row],[BMI]]&lt;25,"Normal",IF(Table1[[#This Row],[BMI]]&lt;30,"Overweight","Obese")))</f>
        <v>Underweight</v>
      </c>
      <c r="H256">
        <v>0</v>
      </c>
      <c r="I256">
        <v>0.10199999999999999</v>
      </c>
      <c r="J256" t="str">
        <f>IF(Table1[[#This Row],[Age]]&lt;30,"Young (&lt;30)",IF(Table1[[#This Row],[Age]]&lt;=50,"Middle Age (30-50)","Older (&gt;50)"))</f>
        <v>Young (&lt;30)</v>
      </c>
      <c r="K256">
        <v>22</v>
      </c>
      <c r="L256">
        <v>0</v>
      </c>
    </row>
    <row r="257" spans="1:12" x14ac:dyDescent="0.3">
      <c r="A257">
        <v>2</v>
      </c>
      <c r="B257" t="str">
        <f>IF(Table1[[#This Row],[Glucose]]&lt;100,"Normal",IF(Table1[[#This Row],[Glucose]]&lt;126,"Prediabetes","High Risk"))</f>
        <v>Prediabetes</v>
      </c>
      <c r="C257">
        <v>110</v>
      </c>
      <c r="D257">
        <v>74</v>
      </c>
      <c r="E257">
        <v>29</v>
      </c>
      <c r="F257">
        <v>125</v>
      </c>
      <c r="G257" t="str">
        <f>IF(Table1[[#This Row],[BMI]]&lt;18.5,"Underweight",IF(Table1[[#This Row],[BMI]]&lt;25,"Normal",IF(Table1[[#This Row],[BMI]]&lt;30,"Overweight","Obese")))</f>
        <v>Obese</v>
      </c>
      <c r="H257">
        <v>32.4</v>
      </c>
      <c r="I257">
        <v>0.69799999999999995</v>
      </c>
      <c r="J257" t="str">
        <f>IF(Table1[[#This Row],[Age]]&lt;30,"Young (&lt;30)",IF(Table1[[#This Row],[Age]]&lt;=50,"Middle Age (30-50)","Older (&gt;50)"))</f>
        <v>Young (&lt;30)</v>
      </c>
      <c r="K257">
        <v>27</v>
      </c>
      <c r="L257">
        <v>0</v>
      </c>
    </row>
    <row r="258" spans="1:12" x14ac:dyDescent="0.3">
      <c r="A258">
        <v>2</v>
      </c>
      <c r="B258" t="str">
        <f>IF(Table1[[#This Row],[Glucose]]&lt;100,"Normal",IF(Table1[[#This Row],[Glucose]]&lt;126,"Prediabetes","High Risk"))</f>
        <v>Prediabetes</v>
      </c>
      <c r="C258">
        <v>100</v>
      </c>
      <c r="D258">
        <v>68</v>
      </c>
      <c r="E258">
        <v>25</v>
      </c>
      <c r="F258">
        <v>71</v>
      </c>
      <c r="G258" t="str">
        <f>IF(Table1[[#This Row],[BMI]]&lt;18.5,"Underweight",IF(Table1[[#This Row],[BMI]]&lt;25,"Normal",IF(Table1[[#This Row],[BMI]]&lt;30,"Overweight","Obese")))</f>
        <v>Obese</v>
      </c>
      <c r="H258">
        <v>38.5</v>
      </c>
      <c r="I258">
        <v>0.32400000000000001</v>
      </c>
      <c r="J258" t="str">
        <f>IF(Table1[[#This Row],[Age]]&lt;30,"Young (&lt;30)",IF(Table1[[#This Row],[Age]]&lt;=50,"Middle Age (30-50)","Older (&gt;50)"))</f>
        <v>Young (&lt;30)</v>
      </c>
      <c r="K258">
        <v>26</v>
      </c>
      <c r="L258">
        <v>0</v>
      </c>
    </row>
    <row r="259" spans="1:12" x14ac:dyDescent="0.3">
      <c r="A259">
        <v>2</v>
      </c>
      <c r="B259" t="str">
        <f>IF(Table1[[#This Row],[Glucose]]&lt;100,"Normal",IF(Table1[[#This Row],[Glucose]]&lt;126,"Prediabetes","High Risk"))</f>
        <v>High Risk</v>
      </c>
      <c r="C259">
        <v>142</v>
      </c>
      <c r="D259">
        <v>82</v>
      </c>
      <c r="E259">
        <v>18</v>
      </c>
      <c r="F259">
        <v>64</v>
      </c>
      <c r="G259" t="str">
        <f>IF(Table1[[#This Row],[BMI]]&lt;18.5,"Underweight",IF(Table1[[#This Row],[BMI]]&lt;25,"Normal",IF(Table1[[#This Row],[BMI]]&lt;30,"Overweight","Obese")))</f>
        <v>Normal</v>
      </c>
      <c r="H259">
        <v>24.7</v>
      </c>
      <c r="I259">
        <v>0.76100000000000001</v>
      </c>
      <c r="J259" t="str">
        <f>IF(Table1[[#This Row],[Age]]&lt;30,"Young (&lt;30)",IF(Table1[[#This Row],[Age]]&lt;=50,"Middle Age (30-50)","Older (&gt;50)"))</f>
        <v>Young (&lt;30)</v>
      </c>
      <c r="K259">
        <v>21</v>
      </c>
      <c r="L259">
        <v>0</v>
      </c>
    </row>
    <row r="260" spans="1:12" x14ac:dyDescent="0.3">
      <c r="A260">
        <v>2</v>
      </c>
      <c r="B260" t="str">
        <f>IF(Table1[[#This Row],[Glucose]]&lt;100,"Normal",IF(Table1[[#This Row],[Glucose]]&lt;126,"Prediabetes","High Risk"))</f>
        <v>Normal</v>
      </c>
      <c r="C260">
        <v>92</v>
      </c>
      <c r="D260">
        <v>62</v>
      </c>
      <c r="E260">
        <v>28</v>
      </c>
      <c r="F260">
        <v>0</v>
      </c>
      <c r="G260" t="str">
        <f>IF(Table1[[#This Row],[BMI]]&lt;18.5,"Underweight",IF(Table1[[#This Row],[BMI]]&lt;25,"Normal",IF(Table1[[#This Row],[BMI]]&lt;30,"Overweight","Obese")))</f>
        <v>Obese</v>
      </c>
      <c r="H260">
        <v>31.6</v>
      </c>
      <c r="I260">
        <v>0.13</v>
      </c>
      <c r="J260" t="str">
        <f>IF(Table1[[#This Row],[Age]]&lt;30,"Young (&lt;30)",IF(Table1[[#This Row],[Age]]&lt;=50,"Middle Age (30-50)","Older (&gt;50)"))</f>
        <v>Young (&lt;30)</v>
      </c>
      <c r="K260">
        <v>24</v>
      </c>
      <c r="L260">
        <v>0</v>
      </c>
    </row>
    <row r="261" spans="1:12" x14ac:dyDescent="0.3">
      <c r="A261">
        <v>2</v>
      </c>
      <c r="B261" t="str">
        <f>IF(Table1[[#This Row],[Glucose]]&lt;100,"Normal",IF(Table1[[#This Row],[Glucose]]&lt;126,"Prediabetes","High Risk"))</f>
        <v>Normal</v>
      </c>
      <c r="C261">
        <v>85</v>
      </c>
      <c r="D261">
        <v>65</v>
      </c>
      <c r="E261">
        <v>0</v>
      </c>
      <c r="F261">
        <v>0</v>
      </c>
      <c r="G261" t="str">
        <f>IF(Table1[[#This Row],[BMI]]&lt;18.5,"Underweight",IF(Table1[[#This Row],[BMI]]&lt;25,"Normal",IF(Table1[[#This Row],[BMI]]&lt;30,"Overweight","Obese")))</f>
        <v>Obese</v>
      </c>
      <c r="H261">
        <v>39.6</v>
      </c>
      <c r="I261">
        <v>0.93</v>
      </c>
      <c r="J261" t="str">
        <f>IF(Table1[[#This Row],[Age]]&lt;30,"Young (&lt;30)",IF(Table1[[#This Row],[Age]]&lt;=50,"Middle Age (30-50)","Older (&gt;50)"))</f>
        <v>Young (&lt;30)</v>
      </c>
      <c r="K261">
        <v>27</v>
      </c>
      <c r="L261">
        <v>0</v>
      </c>
    </row>
    <row r="262" spans="1:12" x14ac:dyDescent="0.3">
      <c r="A262">
        <v>2</v>
      </c>
      <c r="B262" t="str">
        <f>IF(Table1[[#This Row],[Glucose]]&lt;100,"Normal",IF(Table1[[#This Row],[Glucose]]&lt;126,"Prediabetes","High Risk"))</f>
        <v>Prediabetes</v>
      </c>
      <c r="C262">
        <v>107</v>
      </c>
      <c r="D262">
        <v>74</v>
      </c>
      <c r="E262">
        <v>30</v>
      </c>
      <c r="F262">
        <v>100</v>
      </c>
      <c r="G262" t="str">
        <f>IF(Table1[[#This Row],[BMI]]&lt;18.5,"Underweight",IF(Table1[[#This Row],[BMI]]&lt;25,"Normal",IF(Table1[[#This Row],[BMI]]&lt;30,"Overweight","Obese")))</f>
        <v>Obese</v>
      </c>
      <c r="H262">
        <v>33.6</v>
      </c>
      <c r="I262">
        <v>0.40400000000000003</v>
      </c>
      <c r="J262" t="str">
        <f>IF(Table1[[#This Row],[Age]]&lt;30,"Young (&lt;30)",IF(Table1[[#This Row],[Age]]&lt;=50,"Middle Age (30-50)","Older (&gt;50)"))</f>
        <v>Young (&lt;30)</v>
      </c>
      <c r="K262">
        <v>23</v>
      </c>
      <c r="L262">
        <v>0</v>
      </c>
    </row>
    <row r="263" spans="1:12" x14ac:dyDescent="0.3">
      <c r="A263">
        <v>2</v>
      </c>
      <c r="B263" t="str">
        <f>IF(Table1[[#This Row],[Glucose]]&lt;100,"Normal",IF(Table1[[#This Row],[Glucose]]&lt;126,"Prediabetes","High Risk"))</f>
        <v>Normal</v>
      </c>
      <c r="C263">
        <v>96</v>
      </c>
      <c r="D263">
        <v>68</v>
      </c>
      <c r="E263">
        <v>13</v>
      </c>
      <c r="F263">
        <v>49</v>
      </c>
      <c r="G263" t="str">
        <f>IF(Table1[[#This Row],[BMI]]&lt;18.5,"Underweight",IF(Table1[[#This Row],[BMI]]&lt;25,"Normal",IF(Table1[[#This Row],[BMI]]&lt;30,"Overweight","Obese")))</f>
        <v>Normal</v>
      </c>
      <c r="H263">
        <v>21.1</v>
      </c>
      <c r="I263">
        <v>0.64700000000000002</v>
      </c>
      <c r="J263" t="str">
        <f>IF(Table1[[#This Row],[Age]]&lt;30,"Young (&lt;30)",IF(Table1[[#This Row],[Age]]&lt;=50,"Middle Age (30-50)","Older (&gt;50)"))</f>
        <v>Young (&lt;30)</v>
      </c>
      <c r="K263">
        <v>26</v>
      </c>
      <c r="L263">
        <v>0</v>
      </c>
    </row>
    <row r="264" spans="1:12" x14ac:dyDescent="0.3">
      <c r="A264">
        <v>2</v>
      </c>
      <c r="B264" t="str">
        <f>IF(Table1[[#This Row],[Glucose]]&lt;100,"Normal",IF(Table1[[#This Row],[Glucose]]&lt;126,"Prediabetes","High Risk"))</f>
        <v>Prediabetes</v>
      </c>
      <c r="C264">
        <v>125</v>
      </c>
      <c r="D264">
        <v>60</v>
      </c>
      <c r="E264">
        <v>20</v>
      </c>
      <c r="F264">
        <v>140</v>
      </c>
      <c r="G264" t="str">
        <f>IF(Table1[[#This Row],[BMI]]&lt;18.5,"Underweight",IF(Table1[[#This Row],[BMI]]&lt;25,"Normal",IF(Table1[[#This Row],[BMI]]&lt;30,"Overweight","Obese")))</f>
        <v>Obese</v>
      </c>
      <c r="H264">
        <v>33.799999999999997</v>
      </c>
      <c r="I264">
        <v>8.7999999999999995E-2</v>
      </c>
      <c r="J264" t="str">
        <f>IF(Table1[[#This Row],[Age]]&lt;30,"Young (&lt;30)",IF(Table1[[#This Row],[Age]]&lt;=50,"Middle Age (30-50)","Older (&gt;50)"))</f>
        <v>Middle Age (30-50)</v>
      </c>
      <c r="K264">
        <v>31</v>
      </c>
      <c r="L264">
        <v>0</v>
      </c>
    </row>
    <row r="265" spans="1:12" x14ac:dyDescent="0.3">
      <c r="A265">
        <v>2</v>
      </c>
      <c r="B265" t="str">
        <f>IF(Table1[[#This Row],[Glucose]]&lt;100,"Normal",IF(Table1[[#This Row],[Glucose]]&lt;126,"Prediabetes","High Risk"))</f>
        <v>Prediabetes</v>
      </c>
      <c r="C265">
        <v>108</v>
      </c>
      <c r="D265">
        <v>52</v>
      </c>
      <c r="E265">
        <v>26</v>
      </c>
      <c r="F265">
        <v>63</v>
      </c>
      <c r="G265" t="str">
        <f>IF(Table1[[#This Row],[BMI]]&lt;18.5,"Underweight",IF(Table1[[#This Row],[BMI]]&lt;25,"Normal",IF(Table1[[#This Row],[BMI]]&lt;30,"Overweight","Obese")))</f>
        <v>Obese</v>
      </c>
      <c r="H265">
        <v>32.5</v>
      </c>
      <c r="I265">
        <v>0.318</v>
      </c>
      <c r="J265" t="str">
        <f>IF(Table1[[#This Row],[Age]]&lt;30,"Young (&lt;30)",IF(Table1[[#This Row],[Age]]&lt;=50,"Middle Age (30-50)","Older (&gt;50)"))</f>
        <v>Young (&lt;30)</v>
      </c>
      <c r="K265">
        <v>22</v>
      </c>
      <c r="L265">
        <v>0</v>
      </c>
    </row>
    <row r="266" spans="1:12" x14ac:dyDescent="0.3">
      <c r="A266">
        <v>2</v>
      </c>
      <c r="B266" t="str">
        <f>IF(Table1[[#This Row],[Glucose]]&lt;100,"Normal",IF(Table1[[#This Row],[Glucose]]&lt;126,"Prediabetes","High Risk"))</f>
        <v>Prediabetes</v>
      </c>
      <c r="C266">
        <v>106</v>
      </c>
      <c r="D266">
        <v>64</v>
      </c>
      <c r="E266">
        <v>35</v>
      </c>
      <c r="F266">
        <v>119</v>
      </c>
      <c r="G266" t="str">
        <f>IF(Table1[[#This Row],[BMI]]&lt;18.5,"Underweight",IF(Table1[[#This Row],[BMI]]&lt;25,"Normal",IF(Table1[[#This Row],[BMI]]&lt;30,"Overweight","Obese")))</f>
        <v>Obese</v>
      </c>
      <c r="H266">
        <v>30.5</v>
      </c>
      <c r="I266">
        <v>1.4</v>
      </c>
      <c r="J266" t="str">
        <f>IF(Table1[[#This Row],[Age]]&lt;30,"Young (&lt;30)",IF(Table1[[#This Row],[Age]]&lt;=50,"Middle Age (30-50)","Older (&gt;50)"))</f>
        <v>Middle Age (30-50)</v>
      </c>
      <c r="K266">
        <v>34</v>
      </c>
      <c r="L266">
        <v>0</v>
      </c>
    </row>
    <row r="267" spans="1:12" x14ac:dyDescent="0.3">
      <c r="A267">
        <v>2</v>
      </c>
      <c r="B267" t="str">
        <f>IF(Table1[[#This Row],[Glucose]]&lt;100,"Normal",IF(Table1[[#This Row],[Glucose]]&lt;126,"Prediabetes","High Risk"))</f>
        <v>Normal</v>
      </c>
      <c r="C267">
        <v>90</v>
      </c>
      <c r="D267">
        <v>70</v>
      </c>
      <c r="E267">
        <v>17</v>
      </c>
      <c r="F267">
        <v>0</v>
      </c>
      <c r="G267" t="str">
        <f>IF(Table1[[#This Row],[BMI]]&lt;18.5,"Underweight",IF(Table1[[#This Row],[BMI]]&lt;25,"Normal",IF(Table1[[#This Row],[BMI]]&lt;30,"Overweight","Obese")))</f>
        <v>Overweight</v>
      </c>
      <c r="H267">
        <v>27.3</v>
      </c>
      <c r="I267">
        <v>8.5000000000000006E-2</v>
      </c>
      <c r="J267" t="str">
        <f>IF(Table1[[#This Row],[Age]]&lt;30,"Young (&lt;30)",IF(Table1[[#This Row],[Age]]&lt;=50,"Middle Age (30-50)","Older (&gt;50)"))</f>
        <v>Young (&lt;30)</v>
      </c>
      <c r="K267">
        <v>22</v>
      </c>
      <c r="L267">
        <v>0</v>
      </c>
    </row>
    <row r="268" spans="1:12" x14ac:dyDescent="0.3">
      <c r="A268">
        <v>2</v>
      </c>
      <c r="B268" t="str">
        <f>IF(Table1[[#This Row],[Glucose]]&lt;100,"Normal",IF(Table1[[#This Row],[Glucose]]&lt;126,"Prediabetes","High Risk"))</f>
        <v>Normal</v>
      </c>
      <c r="C268">
        <v>99</v>
      </c>
      <c r="D268">
        <v>52</v>
      </c>
      <c r="E268">
        <v>15</v>
      </c>
      <c r="F268">
        <v>94</v>
      </c>
      <c r="G268" t="str">
        <f>IF(Table1[[#This Row],[BMI]]&lt;18.5,"Underweight",IF(Table1[[#This Row],[BMI]]&lt;25,"Normal",IF(Table1[[#This Row],[BMI]]&lt;30,"Overweight","Obese")))</f>
        <v>Normal</v>
      </c>
      <c r="H268">
        <v>24.6</v>
      </c>
      <c r="I268">
        <v>0.63700000000000001</v>
      </c>
      <c r="J268" t="str">
        <f>IF(Table1[[#This Row],[Age]]&lt;30,"Young (&lt;30)",IF(Table1[[#This Row],[Age]]&lt;=50,"Middle Age (30-50)","Older (&gt;50)"))</f>
        <v>Young (&lt;30)</v>
      </c>
      <c r="K268">
        <v>21</v>
      </c>
      <c r="L268">
        <v>0</v>
      </c>
    </row>
    <row r="269" spans="1:12" x14ac:dyDescent="0.3">
      <c r="A269">
        <v>2</v>
      </c>
      <c r="B269" t="str">
        <f>IF(Table1[[#This Row],[Glucose]]&lt;100,"Normal",IF(Table1[[#This Row],[Glucose]]&lt;126,"Prediabetes","High Risk"))</f>
        <v>Normal</v>
      </c>
      <c r="C269">
        <v>88</v>
      </c>
      <c r="D269">
        <v>74</v>
      </c>
      <c r="E269">
        <v>19</v>
      </c>
      <c r="F269">
        <v>53</v>
      </c>
      <c r="G269" t="str">
        <f>IF(Table1[[#This Row],[BMI]]&lt;18.5,"Underweight",IF(Table1[[#This Row],[BMI]]&lt;25,"Normal",IF(Table1[[#This Row],[BMI]]&lt;30,"Overweight","Obese")))</f>
        <v>Overweight</v>
      </c>
      <c r="H269">
        <v>29</v>
      </c>
      <c r="I269">
        <v>0.22900000000000001</v>
      </c>
      <c r="J269" t="str">
        <f>IF(Table1[[#This Row],[Age]]&lt;30,"Young (&lt;30)",IF(Table1[[#This Row],[Age]]&lt;=50,"Middle Age (30-50)","Older (&gt;50)"))</f>
        <v>Young (&lt;30)</v>
      </c>
      <c r="K269">
        <v>22</v>
      </c>
      <c r="L269">
        <v>0</v>
      </c>
    </row>
    <row r="270" spans="1:12" x14ac:dyDescent="0.3">
      <c r="A270">
        <v>2</v>
      </c>
      <c r="B270" t="str">
        <f>IF(Table1[[#This Row],[Glucose]]&lt;100,"Normal",IF(Table1[[#This Row],[Glucose]]&lt;126,"Prediabetes","High Risk"))</f>
        <v>Prediabetes</v>
      </c>
      <c r="C270">
        <v>100</v>
      </c>
      <c r="D270">
        <v>64</v>
      </c>
      <c r="E270">
        <v>23</v>
      </c>
      <c r="F270">
        <v>0</v>
      </c>
      <c r="G270" t="str">
        <f>IF(Table1[[#This Row],[BMI]]&lt;18.5,"Underweight",IF(Table1[[#This Row],[BMI]]&lt;25,"Normal",IF(Table1[[#This Row],[BMI]]&lt;30,"Overweight","Obese")))</f>
        <v>Overweight</v>
      </c>
      <c r="H270">
        <v>29.7</v>
      </c>
      <c r="I270">
        <v>0.36799999999999999</v>
      </c>
      <c r="J270" t="str">
        <f>IF(Table1[[#This Row],[Age]]&lt;30,"Young (&lt;30)",IF(Table1[[#This Row],[Age]]&lt;=50,"Middle Age (30-50)","Older (&gt;50)"))</f>
        <v>Young (&lt;30)</v>
      </c>
      <c r="K270">
        <v>21</v>
      </c>
      <c r="L270">
        <v>0</v>
      </c>
    </row>
    <row r="271" spans="1:12" x14ac:dyDescent="0.3">
      <c r="A271">
        <v>2</v>
      </c>
      <c r="B271" t="str">
        <f>IF(Table1[[#This Row],[Glucose]]&lt;100,"Normal",IF(Table1[[#This Row],[Glucose]]&lt;126,"Prediabetes","High Risk"))</f>
        <v>Normal</v>
      </c>
      <c r="C271">
        <v>87</v>
      </c>
      <c r="D271">
        <v>0</v>
      </c>
      <c r="E271">
        <v>23</v>
      </c>
      <c r="F271">
        <v>0</v>
      </c>
      <c r="G271" t="str">
        <f>IF(Table1[[#This Row],[BMI]]&lt;18.5,"Underweight",IF(Table1[[#This Row],[BMI]]&lt;25,"Normal",IF(Table1[[#This Row],[BMI]]&lt;30,"Overweight","Obese")))</f>
        <v>Overweight</v>
      </c>
      <c r="H271">
        <v>28.9</v>
      </c>
      <c r="I271">
        <v>0.77300000000000002</v>
      </c>
      <c r="J271" t="str">
        <f>IF(Table1[[#This Row],[Age]]&lt;30,"Young (&lt;30)",IF(Table1[[#This Row],[Age]]&lt;=50,"Middle Age (30-50)","Older (&gt;50)"))</f>
        <v>Young (&lt;30)</v>
      </c>
      <c r="K271">
        <v>25</v>
      </c>
      <c r="L271">
        <v>0</v>
      </c>
    </row>
    <row r="272" spans="1:12" x14ac:dyDescent="0.3">
      <c r="A272">
        <v>2</v>
      </c>
      <c r="B272" t="str">
        <f>IF(Table1[[#This Row],[Glucose]]&lt;100,"Normal",IF(Table1[[#This Row],[Glucose]]&lt;126,"Prediabetes","High Risk"))</f>
        <v>Normal</v>
      </c>
      <c r="C272">
        <v>75</v>
      </c>
      <c r="D272">
        <v>64</v>
      </c>
      <c r="E272">
        <v>24</v>
      </c>
      <c r="F272">
        <v>55</v>
      </c>
      <c r="G272" t="str">
        <f>IF(Table1[[#This Row],[BMI]]&lt;18.5,"Underweight",IF(Table1[[#This Row],[BMI]]&lt;25,"Normal",IF(Table1[[#This Row],[BMI]]&lt;30,"Overweight","Obese")))</f>
        <v>Overweight</v>
      </c>
      <c r="H272">
        <v>29.7</v>
      </c>
      <c r="I272">
        <v>0.37</v>
      </c>
      <c r="J272" t="str">
        <f>IF(Table1[[#This Row],[Age]]&lt;30,"Young (&lt;30)",IF(Table1[[#This Row],[Age]]&lt;=50,"Middle Age (30-50)","Older (&gt;50)"))</f>
        <v>Middle Age (30-50)</v>
      </c>
      <c r="K272">
        <v>33</v>
      </c>
      <c r="L272">
        <v>0</v>
      </c>
    </row>
    <row r="273" spans="1:12" x14ac:dyDescent="0.3">
      <c r="A273">
        <v>2</v>
      </c>
      <c r="B273" t="str">
        <f>IF(Table1[[#This Row],[Glucose]]&lt;100,"Normal",IF(Table1[[#This Row],[Glucose]]&lt;126,"Prediabetes","High Risk"))</f>
        <v>Normal</v>
      </c>
      <c r="C273">
        <v>99</v>
      </c>
      <c r="D273">
        <v>70</v>
      </c>
      <c r="E273">
        <v>16</v>
      </c>
      <c r="F273">
        <v>44</v>
      </c>
      <c r="G273" t="str">
        <f>IF(Table1[[#This Row],[BMI]]&lt;18.5,"Underweight",IF(Table1[[#This Row],[BMI]]&lt;25,"Normal",IF(Table1[[#This Row],[BMI]]&lt;30,"Overweight","Obese")))</f>
        <v>Normal</v>
      </c>
      <c r="H273">
        <v>20.399999999999999</v>
      </c>
      <c r="I273">
        <v>0.23499999999999999</v>
      </c>
      <c r="J273" t="str">
        <f>IF(Table1[[#This Row],[Age]]&lt;30,"Young (&lt;30)",IF(Table1[[#This Row],[Age]]&lt;=50,"Middle Age (30-50)","Older (&gt;50)"))</f>
        <v>Young (&lt;30)</v>
      </c>
      <c r="K273">
        <v>27</v>
      </c>
      <c r="L273">
        <v>0</v>
      </c>
    </row>
    <row r="274" spans="1:12" x14ac:dyDescent="0.3">
      <c r="A274">
        <v>2</v>
      </c>
      <c r="B274" t="str">
        <f>IF(Table1[[#This Row],[Glucose]]&lt;100,"Normal",IF(Table1[[#This Row],[Glucose]]&lt;126,"Prediabetes","High Risk"))</f>
        <v>Normal</v>
      </c>
      <c r="C274">
        <v>81</v>
      </c>
      <c r="D274">
        <v>60</v>
      </c>
      <c r="E274">
        <v>22</v>
      </c>
      <c r="F274">
        <v>0</v>
      </c>
      <c r="G274" t="str">
        <f>IF(Table1[[#This Row],[BMI]]&lt;18.5,"Underweight",IF(Table1[[#This Row],[BMI]]&lt;25,"Normal",IF(Table1[[#This Row],[BMI]]&lt;30,"Overweight","Obese")))</f>
        <v>Overweight</v>
      </c>
      <c r="H274">
        <v>27.7</v>
      </c>
      <c r="I274">
        <v>0.28999999999999998</v>
      </c>
      <c r="J274" t="str">
        <f>IF(Table1[[#This Row],[Age]]&lt;30,"Young (&lt;30)",IF(Table1[[#This Row],[Age]]&lt;=50,"Middle Age (30-50)","Older (&gt;50)"))</f>
        <v>Young (&lt;30)</v>
      </c>
      <c r="K274">
        <v>25</v>
      </c>
      <c r="L274">
        <v>0</v>
      </c>
    </row>
    <row r="275" spans="1:12" x14ac:dyDescent="0.3">
      <c r="A275">
        <v>2</v>
      </c>
      <c r="B275" t="str">
        <f>IF(Table1[[#This Row],[Glucose]]&lt;100,"Normal",IF(Table1[[#This Row],[Glucose]]&lt;126,"Prediabetes","High Risk"))</f>
        <v>High Risk</v>
      </c>
      <c r="C275">
        <v>158</v>
      </c>
      <c r="D275">
        <v>90</v>
      </c>
      <c r="E275">
        <v>0</v>
      </c>
      <c r="F275">
        <v>0</v>
      </c>
      <c r="G275" t="str">
        <f>IF(Table1[[#This Row],[BMI]]&lt;18.5,"Underweight",IF(Table1[[#This Row],[BMI]]&lt;25,"Normal",IF(Table1[[#This Row],[BMI]]&lt;30,"Overweight","Obese")))</f>
        <v>Obese</v>
      </c>
      <c r="H275">
        <v>31.6</v>
      </c>
      <c r="I275">
        <v>0.80500000000000005</v>
      </c>
      <c r="J275" t="str">
        <f>IF(Table1[[#This Row],[Age]]&lt;30,"Young (&lt;30)",IF(Table1[[#This Row],[Age]]&lt;=50,"Middle Age (30-50)","Older (&gt;50)"))</f>
        <v>Older (&gt;50)</v>
      </c>
      <c r="K275">
        <v>66</v>
      </c>
      <c r="L275">
        <v>1</v>
      </c>
    </row>
    <row r="276" spans="1:12" x14ac:dyDescent="0.3">
      <c r="A276">
        <v>2</v>
      </c>
      <c r="B276" t="str">
        <f>IF(Table1[[#This Row],[Glucose]]&lt;100,"Normal",IF(Table1[[#This Row],[Glucose]]&lt;126,"Prediabetes","High Risk"))</f>
        <v>High Risk</v>
      </c>
      <c r="C276">
        <v>146</v>
      </c>
      <c r="D276">
        <v>76</v>
      </c>
      <c r="E276">
        <v>35</v>
      </c>
      <c r="F276">
        <v>194</v>
      </c>
      <c r="G276" t="str">
        <f>IF(Table1[[#This Row],[BMI]]&lt;18.5,"Underweight",IF(Table1[[#This Row],[BMI]]&lt;25,"Normal",IF(Table1[[#This Row],[BMI]]&lt;30,"Overweight","Obese")))</f>
        <v>Obese</v>
      </c>
      <c r="H276">
        <v>38.200000000000003</v>
      </c>
      <c r="I276">
        <v>0.32900000000000001</v>
      </c>
      <c r="J276" t="str">
        <f>IF(Table1[[#This Row],[Age]]&lt;30,"Young (&lt;30)",IF(Table1[[#This Row],[Age]]&lt;=50,"Middle Age (30-50)","Older (&gt;50)"))</f>
        <v>Young (&lt;30)</v>
      </c>
      <c r="K276">
        <v>29</v>
      </c>
      <c r="L276">
        <v>0</v>
      </c>
    </row>
    <row r="277" spans="1:12" x14ac:dyDescent="0.3">
      <c r="A277">
        <v>2</v>
      </c>
      <c r="B277" t="str">
        <f>IF(Table1[[#This Row],[Glucose]]&lt;100,"Normal",IF(Table1[[#This Row],[Glucose]]&lt;126,"Prediabetes","High Risk"))</f>
        <v>High Risk</v>
      </c>
      <c r="C277">
        <v>129</v>
      </c>
      <c r="D277">
        <v>84</v>
      </c>
      <c r="E277">
        <v>0</v>
      </c>
      <c r="F277">
        <v>0</v>
      </c>
      <c r="G277" t="str">
        <f>IF(Table1[[#This Row],[BMI]]&lt;18.5,"Underweight",IF(Table1[[#This Row],[BMI]]&lt;25,"Normal",IF(Table1[[#This Row],[BMI]]&lt;30,"Overweight","Obese")))</f>
        <v>Overweight</v>
      </c>
      <c r="H277">
        <v>28</v>
      </c>
      <c r="I277">
        <v>0.28399999999999997</v>
      </c>
      <c r="J277" t="str">
        <f>IF(Table1[[#This Row],[Age]]&lt;30,"Young (&lt;30)",IF(Table1[[#This Row],[Age]]&lt;=50,"Middle Age (30-50)","Older (&gt;50)"))</f>
        <v>Young (&lt;30)</v>
      </c>
      <c r="K277">
        <v>27</v>
      </c>
      <c r="L277">
        <v>0</v>
      </c>
    </row>
    <row r="278" spans="1:12" x14ac:dyDescent="0.3">
      <c r="A278">
        <v>2</v>
      </c>
      <c r="B278" t="str">
        <f>IF(Table1[[#This Row],[Glucose]]&lt;100,"Normal",IF(Table1[[#This Row],[Glucose]]&lt;126,"Prediabetes","High Risk"))</f>
        <v>Normal</v>
      </c>
      <c r="C278">
        <v>90</v>
      </c>
      <c r="D278">
        <v>80</v>
      </c>
      <c r="E278">
        <v>14</v>
      </c>
      <c r="F278">
        <v>55</v>
      </c>
      <c r="G278" t="str">
        <f>IF(Table1[[#This Row],[BMI]]&lt;18.5,"Underweight",IF(Table1[[#This Row],[BMI]]&lt;25,"Normal",IF(Table1[[#This Row],[BMI]]&lt;30,"Overweight","Obese")))</f>
        <v>Normal</v>
      </c>
      <c r="H278">
        <v>24.4</v>
      </c>
      <c r="I278">
        <v>0.249</v>
      </c>
      <c r="J278" t="str">
        <f>IF(Table1[[#This Row],[Age]]&lt;30,"Young (&lt;30)",IF(Table1[[#This Row],[Age]]&lt;=50,"Middle Age (30-50)","Older (&gt;50)"))</f>
        <v>Young (&lt;30)</v>
      </c>
      <c r="K278">
        <v>24</v>
      </c>
      <c r="L278">
        <v>0</v>
      </c>
    </row>
    <row r="279" spans="1:12" x14ac:dyDescent="0.3">
      <c r="A279">
        <v>2</v>
      </c>
      <c r="B279" t="str">
        <f>IF(Table1[[#This Row],[Glucose]]&lt;100,"Normal",IF(Table1[[#This Row],[Glucose]]&lt;126,"Prediabetes","High Risk"))</f>
        <v>Prediabetes</v>
      </c>
      <c r="C279">
        <v>114</v>
      </c>
      <c r="D279">
        <v>68</v>
      </c>
      <c r="E279">
        <v>22</v>
      </c>
      <c r="F279">
        <v>0</v>
      </c>
      <c r="G279" t="str">
        <f>IF(Table1[[#This Row],[BMI]]&lt;18.5,"Underweight",IF(Table1[[#This Row],[BMI]]&lt;25,"Normal",IF(Table1[[#This Row],[BMI]]&lt;30,"Overweight","Obese")))</f>
        <v>Overweight</v>
      </c>
      <c r="H279">
        <v>28.7</v>
      </c>
      <c r="I279">
        <v>9.1999999999999998E-2</v>
      </c>
      <c r="J279" t="str">
        <f>IF(Table1[[#This Row],[Age]]&lt;30,"Young (&lt;30)",IF(Table1[[#This Row],[Age]]&lt;=50,"Middle Age (30-50)","Older (&gt;50)"))</f>
        <v>Young (&lt;30)</v>
      </c>
      <c r="K279">
        <v>25</v>
      </c>
      <c r="L279">
        <v>0</v>
      </c>
    </row>
    <row r="280" spans="1:12" x14ac:dyDescent="0.3">
      <c r="A280">
        <v>2</v>
      </c>
      <c r="B280" t="str">
        <f>IF(Table1[[#This Row],[Glucose]]&lt;100,"Normal",IF(Table1[[#This Row],[Glucose]]&lt;126,"Prediabetes","High Risk"))</f>
        <v>High Risk</v>
      </c>
      <c r="C280">
        <v>128</v>
      </c>
      <c r="D280">
        <v>64</v>
      </c>
      <c r="E280">
        <v>42</v>
      </c>
      <c r="F280">
        <v>0</v>
      </c>
      <c r="G280" t="str">
        <f>IF(Table1[[#This Row],[BMI]]&lt;18.5,"Underweight",IF(Table1[[#This Row],[BMI]]&lt;25,"Normal",IF(Table1[[#This Row],[BMI]]&lt;30,"Overweight","Obese")))</f>
        <v>Obese</v>
      </c>
      <c r="H280">
        <v>40</v>
      </c>
      <c r="I280">
        <v>1.101</v>
      </c>
      <c r="J280" t="str">
        <f>IF(Table1[[#This Row],[Age]]&lt;30,"Young (&lt;30)",IF(Table1[[#This Row],[Age]]&lt;=50,"Middle Age (30-50)","Older (&gt;50)"))</f>
        <v>Young (&lt;30)</v>
      </c>
      <c r="K280">
        <v>24</v>
      </c>
      <c r="L280">
        <v>0</v>
      </c>
    </row>
    <row r="281" spans="1:12" x14ac:dyDescent="0.3">
      <c r="A281">
        <v>2</v>
      </c>
      <c r="B281" t="str">
        <f>IF(Table1[[#This Row],[Glucose]]&lt;100,"Normal",IF(Table1[[#This Row],[Glucose]]&lt;126,"Prediabetes","High Risk"))</f>
        <v>High Risk</v>
      </c>
      <c r="C281">
        <v>146</v>
      </c>
      <c r="D281">
        <v>0</v>
      </c>
      <c r="E281">
        <v>0</v>
      </c>
      <c r="F281">
        <v>0</v>
      </c>
      <c r="G281" t="str">
        <f>IF(Table1[[#This Row],[BMI]]&lt;18.5,"Underweight",IF(Table1[[#This Row],[BMI]]&lt;25,"Normal",IF(Table1[[#This Row],[BMI]]&lt;30,"Overweight","Obese")))</f>
        <v>Overweight</v>
      </c>
      <c r="H281">
        <v>27.5</v>
      </c>
      <c r="I281">
        <v>0.24</v>
      </c>
      <c r="J281" t="str">
        <f>IF(Table1[[#This Row],[Age]]&lt;30,"Young (&lt;30)",IF(Table1[[#This Row],[Age]]&lt;=50,"Middle Age (30-50)","Older (&gt;50)"))</f>
        <v>Young (&lt;30)</v>
      </c>
      <c r="K281">
        <v>28</v>
      </c>
      <c r="L281">
        <v>1</v>
      </c>
    </row>
    <row r="282" spans="1:12" x14ac:dyDescent="0.3">
      <c r="A282">
        <v>2</v>
      </c>
      <c r="B282" t="str">
        <f>IF(Table1[[#This Row],[Glucose]]&lt;100,"Normal",IF(Table1[[#This Row],[Glucose]]&lt;126,"Prediabetes","High Risk"))</f>
        <v>Prediabetes</v>
      </c>
      <c r="C282">
        <v>108</v>
      </c>
      <c r="D282">
        <v>62</v>
      </c>
      <c r="E282">
        <v>32</v>
      </c>
      <c r="F282">
        <v>56</v>
      </c>
      <c r="G282" t="str">
        <f>IF(Table1[[#This Row],[BMI]]&lt;18.5,"Underweight",IF(Table1[[#This Row],[BMI]]&lt;25,"Normal",IF(Table1[[#This Row],[BMI]]&lt;30,"Overweight","Obese")))</f>
        <v>Overweight</v>
      </c>
      <c r="H282">
        <v>25.2</v>
      </c>
      <c r="I282">
        <v>0.128</v>
      </c>
      <c r="J282" t="str">
        <f>IF(Table1[[#This Row],[Age]]&lt;30,"Young (&lt;30)",IF(Table1[[#This Row],[Age]]&lt;=50,"Middle Age (30-50)","Older (&gt;50)"))</f>
        <v>Young (&lt;30)</v>
      </c>
      <c r="K282">
        <v>21</v>
      </c>
      <c r="L282">
        <v>0</v>
      </c>
    </row>
    <row r="283" spans="1:12" x14ac:dyDescent="0.3">
      <c r="A283">
        <v>2</v>
      </c>
      <c r="B283" t="str">
        <f>IF(Table1[[#This Row],[Glucose]]&lt;100,"Normal",IF(Table1[[#This Row],[Glucose]]&lt;126,"Prediabetes","High Risk"))</f>
        <v>Prediabetes</v>
      </c>
      <c r="C283">
        <v>100</v>
      </c>
      <c r="D283">
        <v>70</v>
      </c>
      <c r="E283">
        <v>52</v>
      </c>
      <c r="F283">
        <v>57</v>
      </c>
      <c r="G283" t="str">
        <f>IF(Table1[[#This Row],[BMI]]&lt;18.5,"Underweight",IF(Table1[[#This Row],[BMI]]&lt;25,"Normal",IF(Table1[[#This Row],[BMI]]&lt;30,"Overweight","Obese")))</f>
        <v>Obese</v>
      </c>
      <c r="H283">
        <v>40.5</v>
      </c>
      <c r="I283">
        <v>0.67700000000000005</v>
      </c>
      <c r="J283" t="str">
        <f>IF(Table1[[#This Row],[Age]]&lt;30,"Young (&lt;30)",IF(Table1[[#This Row],[Age]]&lt;=50,"Middle Age (30-50)","Older (&gt;50)"))</f>
        <v>Young (&lt;30)</v>
      </c>
      <c r="K283">
        <v>25</v>
      </c>
      <c r="L283">
        <v>0</v>
      </c>
    </row>
    <row r="284" spans="1:12" x14ac:dyDescent="0.3">
      <c r="A284">
        <v>2</v>
      </c>
      <c r="B284" t="str">
        <f>IF(Table1[[#This Row],[Glucose]]&lt;100,"Normal",IF(Table1[[#This Row],[Glucose]]&lt;126,"Prediabetes","High Risk"))</f>
        <v>Prediabetes</v>
      </c>
      <c r="C284">
        <v>108</v>
      </c>
      <c r="D284">
        <v>62</v>
      </c>
      <c r="E284">
        <v>10</v>
      </c>
      <c r="F284">
        <v>278</v>
      </c>
      <c r="G284" t="str">
        <f>IF(Table1[[#This Row],[BMI]]&lt;18.5,"Underweight",IF(Table1[[#This Row],[BMI]]&lt;25,"Normal",IF(Table1[[#This Row],[BMI]]&lt;30,"Overweight","Obese")))</f>
        <v>Overweight</v>
      </c>
      <c r="H284">
        <v>25.3</v>
      </c>
      <c r="I284">
        <v>0.88100000000000001</v>
      </c>
      <c r="J284" t="str">
        <f>IF(Table1[[#This Row],[Age]]&lt;30,"Young (&lt;30)",IF(Table1[[#This Row],[Age]]&lt;=50,"Middle Age (30-50)","Older (&gt;50)"))</f>
        <v>Young (&lt;30)</v>
      </c>
      <c r="K284">
        <v>22</v>
      </c>
      <c r="L284">
        <v>0</v>
      </c>
    </row>
    <row r="285" spans="1:12" x14ac:dyDescent="0.3">
      <c r="A285">
        <v>2</v>
      </c>
      <c r="B285" t="str">
        <f>IF(Table1[[#This Row],[Glucose]]&lt;100,"Normal",IF(Table1[[#This Row],[Glucose]]&lt;126,"Prediabetes","High Risk"))</f>
        <v>Prediabetes</v>
      </c>
      <c r="C285">
        <v>108</v>
      </c>
      <c r="D285">
        <v>80</v>
      </c>
      <c r="E285">
        <v>0</v>
      </c>
      <c r="F285">
        <v>0</v>
      </c>
      <c r="G285" t="str">
        <f>IF(Table1[[#This Row],[BMI]]&lt;18.5,"Underweight",IF(Table1[[#This Row],[BMI]]&lt;25,"Normal",IF(Table1[[#This Row],[BMI]]&lt;30,"Overweight","Obese")))</f>
        <v>Overweight</v>
      </c>
      <c r="H285">
        <v>27</v>
      </c>
      <c r="I285">
        <v>0.25900000000000001</v>
      </c>
      <c r="J285" t="str">
        <f>IF(Table1[[#This Row],[Age]]&lt;30,"Young (&lt;30)",IF(Table1[[#This Row],[Age]]&lt;=50,"Middle Age (30-50)","Older (&gt;50)"))</f>
        <v>Older (&gt;50)</v>
      </c>
      <c r="K285">
        <v>52</v>
      </c>
      <c r="L285">
        <v>1</v>
      </c>
    </row>
    <row r="286" spans="1:12" x14ac:dyDescent="0.3">
      <c r="A286">
        <v>2</v>
      </c>
      <c r="B286" t="str">
        <f>IF(Table1[[#This Row],[Glucose]]&lt;100,"Normal",IF(Table1[[#This Row],[Glucose]]&lt;126,"Prediabetes","High Risk"))</f>
        <v>High Risk</v>
      </c>
      <c r="C286">
        <v>128</v>
      </c>
      <c r="D286">
        <v>78</v>
      </c>
      <c r="E286">
        <v>37</v>
      </c>
      <c r="F286">
        <v>182</v>
      </c>
      <c r="G286" t="str">
        <f>IF(Table1[[#This Row],[BMI]]&lt;18.5,"Underweight",IF(Table1[[#This Row],[BMI]]&lt;25,"Normal",IF(Table1[[#This Row],[BMI]]&lt;30,"Overweight","Obese")))</f>
        <v>Obese</v>
      </c>
      <c r="H286">
        <v>43.3</v>
      </c>
      <c r="I286">
        <v>1.224</v>
      </c>
      <c r="J286" t="str">
        <f>IF(Table1[[#This Row],[Age]]&lt;30,"Young (&lt;30)",IF(Table1[[#This Row],[Age]]&lt;=50,"Middle Age (30-50)","Older (&gt;50)"))</f>
        <v>Middle Age (30-50)</v>
      </c>
      <c r="K286">
        <v>31</v>
      </c>
      <c r="L286">
        <v>1</v>
      </c>
    </row>
    <row r="287" spans="1:12" x14ac:dyDescent="0.3">
      <c r="A287">
        <v>2</v>
      </c>
      <c r="B287" t="str">
        <f>IF(Table1[[#This Row],[Glucose]]&lt;100,"Normal",IF(Table1[[#This Row],[Glucose]]&lt;126,"Prediabetes","High Risk"))</f>
        <v>High Risk</v>
      </c>
      <c r="C287">
        <v>146</v>
      </c>
      <c r="D287">
        <v>70</v>
      </c>
      <c r="E287">
        <v>38</v>
      </c>
      <c r="F287">
        <v>360</v>
      </c>
      <c r="G287" t="str">
        <f>IF(Table1[[#This Row],[BMI]]&lt;18.5,"Underweight",IF(Table1[[#This Row],[BMI]]&lt;25,"Normal",IF(Table1[[#This Row],[BMI]]&lt;30,"Overweight","Obese")))</f>
        <v>Overweight</v>
      </c>
      <c r="H287">
        <v>28</v>
      </c>
      <c r="I287">
        <v>0.33700000000000002</v>
      </c>
      <c r="J287" t="str">
        <f>IF(Table1[[#This Row],[Age]]&lt;30,"Young (&lt;30)",IF(Table1[[#This Row],[Age]]&lt;=50,"Middle Age (30-50)","Older (&gt;50)"))</f>
        <v>Young (&lt;30)</v>
      </c>
      <c r="K287">
        <v>29</v>
      </c>
      <c r="L287">
        <v>1</v>
      </c>
    </row>
    <row r="288" spans="1:12" x14ac:dyDescent="0.3">
      <c r="A288">
        <v>2</v>
      </c>
      <c r="B288" t="str">
        <f>IF(Table1[[#This Row],[Glucose]]&lt;100,"Normal",IF(Table1[[#This Row],[Glucose]]&lt;126,"Prediabetes","High Risk"))</f>
        <v>High Risk</v>
      </c>
      <c r="C288">
        <v>144</v>
      </c>
      <c r="D288">
        <v>58</v>
      </c>
      <c r="E288">
        <v>33</v>
      </c>
      <c r="F288">
        <v>135</v>
      </c>
      <c r="G288" t="str">
        <f>IF(Table1[[#This Row],[BMI]]&lt;18.5,"Underweight",IF(Table1[[#This Row],[BMI]]&lt;25,"Normal",IF(Table1[[#This Row],[BMI]]&lt;30,"Overweight","Obese")))</f>
        <v>Obese</v>
      </c>
      <c r="H288">
        <v>31.6</v>
      </c>
      <c r="I288">
        <v>0.42199999999999999</v>
      </c>
      <c r="J288" t="str">
        <f>IF(Table1[[#This Row],[Age]]&lt;30,"Young (&lt;30)",IF(Table1[[#This Row],[Age]]&lt;=50,"Middle Age (30-50)","Older (&gt;50)"))</f>
        <v>Young (&lt;30)</v>
      </c>
      <c r="K288">
        <v>25</v>
      </c>
      <c r="L288">
        <v>1</v>
      </c>
    </row>
    <row r="289" spans="1:12" x14ac:dyDescent="0.3">
      <c r="A289">
        <v>2</v>
      </c>
      <c r="B289" t="str">
        <f>IF(Table1[[#This Row],[Glucose]]&lt;100,"Normal",IF(Table1[[#This Row],[Glucose]]&lt;126,"Prediabetes","High Risk"))</f>
        <v>Prediabetes</v>
      </c>
      <c r="C289">
        <v>120</v>
      </c>
      <c r="D289">
        <v>76</v>
      </c>
      <c r="E289">
        <v>37</v>
      </c>
      <c r="F289">
        <v>105</v>
      </c>
      <c r="G289" t="str">
        <f>IF(Table1[[#This Row],[BMI]]&lt;18.5,"Underweight",IF(Table1[[#This Row],[BMI]]&lt;25,"Normal",IF(Table1[[#This Row],[BMI]]&lt;30,"Overweight","Obese")))</f>
        <v>Obese</v>
      </c>
      <c r="H289">
        <v>39.700000000000003</v>
      </c>
      <c r="I289">
        <v>0.215</v>
      </c>
      <c r="J289" t="str">
        <f>IF(Table1[[#This Row],[Age]]&lt;30,"Young (&lt;30)",IF(Table1[[#This Row],[Age]]&lt;=50,"Middle Age (30-50)","Older (&gt;50)"))</f>
        <v>Young (&lt;30)</v>
      </c>
      <c r="K289">
        <v>29</v>
      </c>
      <c r="L289">
        <v>0</v>
      </c>
    </row>
    <row r="290" spans="1:12" x14ac:dyDescent="0.3">
      <c r="A290">
        <v>2</v>
      </c>
      <c r="B290" t="str">
        <f>IF(Table1[[#This Row],[Glucose]]&lt;100,"Normal",IF(Table1[[#This Row],[Glucose]]&lt;126,"Prediabetes","High Risk"))</f>
        <v>Prediabetes</v>
      </c>
      <c r="C290">
        <v>124</v>
      </c>
      <c r="D290">
        <v>68</v>
      </c>
      <c r="E290">
        <v>28</v>
      </c>
      <c r="F290">
        <v>205</v>
      </c>
      <c r="G290" t="str">
        <f>IF(Table1[[#This Row],[BMI]]&lt;18.5,"Underweight",IF(Table1[[#This Row],[BMI]]&lt;25,"Normal",IF(Table1[[#This Row],[BMI]]&lt;30,"Overweight","Obese")))</f>
        <v>Obese</v>
      </c>
      <c r="H290">
        <v>32.9</v>
      </c>
      <c r="I290">
        <v>0.875</v>
      </c>
      <c r="J290" t="str">
        <f>IF(Table1[[#This Row],[Age]]&lt;30,"Young (&lt;30)",IF(Table1[[#This Row],[Age]]&lt;=50,"Middle Age (30-50)","Older (&gt;50)"))</f>
        <v>Middle Age (30-50)</v>
      </c>
      <c r="K290">
        <v>30</v>
      </c>
      <c r="L290">
        <v>1</v>
      </c>
    </row>
    <row r="291" spans="1:12" x14ac:dyDescent="0.3">
      <c r="A291">
        <v>2</v>
      </c>
      <c r="B291" t="str">
        <f>IF(Table1[[#This Row],[Glucose]]&lt;100,"Normal",IF(Table1[[#This Row],[Glucose]]&lt;126,"Prediabetes","High Risk"))</f>
        <v>High Risk</v>
      </c>
      <c r="C291">
        <v>155</v>
      </c>
      <c r="D291">
        <v>74</v>
      </c>
      <c r="E291">
        <v>17</v>
      </c>
      <c r="F291">
        <v>96</v>
      </c>
      <c r="G291" t="str">
        <f>IF(Table1[[#This Row],[BMI]]&lt;18.5,"Underweight",IF(Table1[[#This Row],[BMI]]&lt;25,"Normal",IF(Table1[[#This Row],[BMI]]&lt;30,"Overweight","Obese")))</f>
        <v>Overweight</v>
      </c>
      <c r="H291">
        <v>26.6</v>
      </c>
      <c r="I291">
        <v>0.433</v>
      </c>
      <c r="J291" t="str">
        <f>IF(Table1[[#This Row],[Age]]&lt;30,"Young (&lt;30)",IF(Table1[[#This Row],[Age]]&lt;=50,"Middle Age (30-50)","Older (&gt;50)"))</f>
        <v>Young (&lt;30)</v>
      </c>
      <c r="K291">
        <v>27</v>
      </c>
      <c r="L291">
        <v>1</v>
      </c>
    </row>
    <row r="292" spans="1:12" x14ac:dyDescent="0.3">
      <c r="A292">
        <v>2</v>
      </c>
      <c r="B292" t="str">
        <f>IF(Table1[[#This Row],[Glucose]]&lt;100,"Normal",IF(Table1[[#This Row],[Glucose]]&lt;126,"Prediabetes","High Risk"))</f>
        <v>Prediabetes</v>
      </c>
      <c r="C292">
        <v>112</v>
      </c>
      <c r="D292">
        <v>68</v>
      </c>
      <c r="E292">
        <v>22</v>
      </c>
      <c r="F292">
        <v>94</v>
      </c>
      <c r="G292" t="str">
        <f>IF(Table1[[#This Row],[BMI]]&lt;18.5,"Underweight",IF(Table1[[#This Row],[BMI]]&lt;25,"Normal",IF(Table1[[#This Row],[BMI]]&lt;30,"Overweight","Obese")))</f>
        <v>Obese</v>
      </c>
      <c r="H292">
        <v>34.1</v>
      </c>
      <c r="I292">
        <v>0.315</v>
      </c>
      <c r="J292" t="str">
        <f>IF(Table1[[#This Row],[Age]]&lt;30,"Young (&lt;30)",IF(Table1[[#This Row],[Age]]&lt;=50,"Middle Age (30-50)","Older (&gt;50)"))</f>
        <v>Young (&lt;30)</v>
      </c>
      <c r="K292">
        <v>26</v>
      </c>
      <c r="L292">
        <v>0</v>
      </c>
    </row>
    <row r="293" spans="1:12" x14ac:dyDescent="0.3">
      <c r="A293">
        <v>2</v>
      </c>
      <c r="B293" t="str">
        <f>IF(Table1[[#This Row],[Glucose]]&lt;100,"Normal",IF(Table1[[#This Row],[Glucose]]&lt;126,"Prediabetes","High Risk"))</f>
        <v>Prediabetes</v>
      </c>
      <c r="C293">
        <v>112</v>
      </c>
      <c r="D293">
        <v>75</v>
      </c>
      <c r="E293">
        <v>32</v>
      </c>
      <c r="F293">
        <v>0</v>
      </c>
      <c r="G293" t="str">
        <f>IF(Table1[[#This Row],[BMI]]&lt;18.5,"Underweight",IF(Table1[[#This Row],[BMI]]&lt;25,"Normal",IF(Table1[[#This Row],[BMI]]&lt;30,"Overweight","Obese")))</f>
        <v>Obese</v>
      </c>
      <c r="H293">
        <v>35.700000000000003</v>
      </c>
      <c r="I293">
        <v>0.14799999999999999</v>
      </c>
      <c r="J293" t="str">
        <f>IF(Table1[[#This Row],[Age]]&lt;30,"Young (&lt;30)",IF(Table1[[#This Row],[Age]]&lt;=50,"Middle Age (30-50)","Older (&gt;50)"))</f>
        <v>Young (&lt;30)</v>
      </c>
      <c r="K293">
        <v>21</v>
      </c>
      <c r="L293">
        <v>0</v>
      </c>
    </row>
    <row r="294" spans="1:12" x14ac:dyDescent="0.3">
      <c r="A294">
        <v>2</v>
      </c>
      <c r="B294" t="str">
        <f>IF(Table1[[#This Row],[Glucose]]&lt;100,"Normal",IF(Table1[[#This Row],[Glucose]]&lt;126,"Prediabetes","High Risk"))</f>
        <v>Prediabetes</v>
      </c>
      <c r="C294">
        <v>102</v>
      </c>
      <c r="D294">
        <v>86</v>
      </c>
      <c r="E294">
        <v>36</v>
      </c>
      <c r="F294">
        <v>120</v>
      </c>
      <c r="G294" t="str">
        <f>IF(Table1[[#This Row],[BMI]]&lt;18.5,"Underweight",IF(Table1[[#This Row],[BMI]]&lt;25,"Normal",IF(Table1[[#This Row],[BMI]]&lt;30,"Overweight","Obese")))</f>
        <v>Obese</v>
      </c>
      <c r="H294">
        <v>45.5</v>
      </c>
      <c r="I294">
        <v>0.127</v>
      </c>
      <c r="J294" t="str">
        <f>IF(Table1[[#This Row],[Age]]&lt;30,"Young (&lt;30)",IF(Table1[[#This Row],[Age]]&lt;=50,"Middle Age (30-50)","Older (&gt;50)"))</f>
        <v>Young (&lt;30)</v>
      </c>
      <c r="K294">
        <v>23</v>
      </c>
      <c r="L294">
        <v>1</v>
      </c>
    </row>
    <row r="295" spans="1:12" x14ac:dyDescent="0.3">
      <c r="A295">
        <v>2</v>
      </c>
      <c r="B295" t="str">
        <f>IF(Table1[[#This Row],[Glucose]]&lt;100,"Normal",IF(Table1[[#This Row],[Glucose]]&lt;126,"Prediabetes","High Risk"))</f>
        <v>Normal</v>
      </c>
      <c r="C295">
        <v>87</v>
      </c>
      <c r="D295">
        <v>58</v>
      </c>
      <c r="E295">
        <v>16</v>
      </c>
      <c r="F295">
        <v>52</v>
      </c>
      <c r="G295" t="str">
        <f>IF(Table1[[#This Row],[BMI]]&lt;18.5,"Underweight",IF(Table1[[#This Row],[BMI]]&lt;25,"Normal",IF(Table1[[#This Row],[BMI]]&lt;30,"Overweight","Obese")))</f>
        <v>Obese</v>
      </c>
      <c r="H295">
        <v>32.700000000000003</v>
      </c>
      <c r="I295">
        <v>0.16600000000000001</v>
      </c>
      <c r="J295" t="str">
        <f>IF(Table1[[#This Row],[Age]]&lt;30,"Young (&lt;30)",IF(Table1[[#This Row],[Age]]&lt;=50,"Middle Age (30-50)","Older (&gt;50)"))</f>
        <v>Young (&lt;30)</v>
      </c>
      <c r="K295">
        <v>25</v>
      </c>
      <c r="L295">
        <v>0</v>
      </c>
    </row>
    <row r="296" spans="1:12" x14ac:dyDescent="0.3">
      <c r="A296">
        <v>2</v>
      </c>
      <c r="B296" t="str">
        <f>IF(Table1[[#This Row],[Glucose]]&lt;100,"Normal",IF(Table1[[#This Row],[Glucose]]&lt;126,"Prediabetes","High Risk"))</f>
        <v>Prediabetes</v>
      </c>
      <c r="C296">
        <v>105</v>
      </c>
      <c r="D296">
        <v>58</v>
      </c>
      <c r="E296">
        <v>40</v>
      </c>
      <c r="F296">
        <v>94</v>
      </c>
      <c r="G296" t="str">
        <f>IF(Table1[[#This Row],[BMI]]&lt;18.5,"Underweight",IF(Table1[[#This Row],[BMI]]&lt;25,"Normal",IF(Table1[[#This Row],[BMI]]&lt;30,"Overweight","Obese")))</f>
        <v>Obese</v>
      </c>
      <c r="H296">
        <v>34.9</v>
      </c>
      <c r="I296">
        <v>0.22500000000000001</v>
      </c>
      <c r="J296" t="str">
        <f>IF(Table1[[#This Row],[Age]]&lt;30,"Young (&lt;30)",IF(Table1[[#This Row],[Age]]&lt;=50,"Middle Age (30-50)","Older (&gt;50)"))</f>
        <v>Young (&lt;30)</v>
      </c>
      <c r="K296">
        <v>25</v>
      </c>
      <c r="L296">
        <v>0</v>
      </c>
    </row>
    <row r="297" spans="1:12" x14ac:dyDescent="0.3">
      <c r="A297">
        <v>2</v>
      </c>
      <c r="B297" t="str">
        <f>IF(Table1[[#This Row],[Glucose]]&lt;100,"Normal",IF(Table1[[#This Row],[Glucose]]&lt;126,"Prediabetes","High Risk"))</f>
        <v>Prediabetes</v>
      </c>
      <c r="C297">
        <v>122</v>
      </c>
      <c r="D297">
        <v>52</v>
      </c>
      <c r="E297">
        <v>43</v>
      </c>
      <c r="F297">
        <v>158</v>
      </c>
      <c r="G297" t="str">
        <f>IF(Table1[[#This Row],[BMI]]&lt;18.5,"Underweight",IF(Table1[[#This Row],[BMI]]&lt;25,"Normal",IF(Table1[[#This Row],[BMI]]&lt;30,"Overweight","Obese")))</f>
        <v>Obese</v>
      </c>
      <c r="H297">
        <v>36.200000000000003</v>
      </c>
      <c r="I297">
        <v>0.81599999999999995</v>
      </c>
      <c r="J297" t="str">
        <f>IF(Table1[[#This Row],[Age]]&lt;30,"Young (&lt;30)",IF(Table1[[#This Row],[Age]]&lt;=50,"Middle Age (30-50)","Older (&gt;50)"))</f>
        <v>Young (&lt;30)</v>
      </c>
      <c r="K297">
        <v>28</v>
      </c>
      <c r="L297">
        <v>0</v>
      </c>
    </row>
    <row r="298" spans="1:12" x14ac:dyDescent="0.3">
      <c r="A298">
        <v>2</v>
      </c>
      <c r="B298" t="str">
        <f>IF(Table1[[#This Row],[Glucose]]&lt;100,"Normal",IF(Table1[[#This Row],[Glucose]]&lt;126,"Prediabetes","High Risk"))</f>
        <v>High Risk</v>
      </c>
      <c r="C298">
        <v>127</v>
      </c>
      <c r="D298">
        <v>58</v>
      </c>
      <c r="E298">
        <v>24</v>
      </c>
      <c r="F298">
        <v>275</v>
      </c>
      <c r="G298" t="str">
        <f>IF(Table1[[#This Row],[BMI]]&lt;18.5,"Underweight",IF(Table1[[#This Row],[BMI]]&lt;25,"Normal",IF(Table1[[#This Row],[BMI]]&lt;30,"Overweight","Obese")))</f>
        <v>Overweight</v>
      </c>
      <c r="H298">
        <v>27.7</v>
      </c>
      <c r="I298">
        <v>1.6</v>
      </c>
      <c r="J298" t="str">
        <f>IF(Table1[[#This Row],[Age]]&lt;30,"Young (&lt;30)",IF(Table1[[#This Row],[Age]]&lt;=50,"Middle Age (30-50)","Older (&gt;50)"))</f>
        <v>Young (&lt;30)</v>
      </c>
      <c r="K298">
        <v>25</v>
      </c>
      <c r="L298">
        <v>0</v>
      </c>
    </row>
    <row r="299" spans="1:12" x14ac:dyDescent="0.3">
      <c r="A299">
        <v>2</v>
      </c>
      <c r="B299" t="str">
        <f>IF(Table1[[#This Row],[Glucose]]&lt;100,"Normal",IF(Table1[[#This Row],[Glucose]]&lt;126,"Prediabetes","High Risk"))</f>
        <v>Prediabetes</v>
      </c>
      <c r="C299">
        <v>123</v>
      </c>
      <c r="D299">
        <v>48</v>
      </c>
      <c r="E299">
        <v>32</v>
      </c>
      <c r="F299">
        <v>165</v>
      </c>
      <c r="G299" t="str">
        <f>IF(Table1[[#This Row],[BMI]]&lt;18.5,"Underweight",IF(Table1[[#This Row],[BMI]]&lt;25,"Normal",IF(Table1[[#This Row],[BMI]]&lt;30,"Overweight","Obese")))</f>
        <v>Obese</v>
      </c>
      <c r="H299">
        <v>42.1</v>
      </c>
      <c r="I299">
        <v>0.52</v>
      </c>
      <c r="J299" t="str">
        <f>IF(Table1[[#This Row],[Age]]&lt;30,"Young (&lt;30)",IF(Table1[[#This Row],[Age]]&lt;=50,"Middle Age (30-50)","Older (&gt;50)"))</f>
        <v>Young (&lt;30)</v>
      </c>
      <c r="K299">
        <v>26</v>
      </c>
      <c r="L299">
        <v>0</v>
      </c>
    </row>
    <row r="300" spans="1:12" x14ac:dyDescent="0.3">
      <c r="A300">
        <v>2</v>
      </c>
      <c r="B300" t="str">
        <f>IF(Table1[[#This Row],[Glucose]]&lt;100,"Normal",IF(Table1[[#This Row],[Glucose]]&lt;126,"Prediabetes","High Risk"))</f>
        <v>Normal</v>
      </c>
      <c r="C300">
        <v>94</v>
      </c>
      <c r="D300">
        <v>68</v>
      </c>
      <c r="E300">
        <v>18</v>
      </c>
      <c r="F300">
        <v>76</v>
      </c>
      <c r="G300" t="str">
        <f>IF(Table1[[#This Row],[BMI]]&lt;18.5,"Underweight",IF(Table1[[#This Row],[BMI]]&lt;25,"Normal",IF(Table1[[#This Row],[BMI]]&lt;30,"Overweight","Obese")))</f>
        <v>Overweight</v>
      </c>
      <c r="H300">
        <v>26</v>
      </c>
      <c r="I300">
        <v>0.56100000000000005</v>
      </c>
      <c r="J300" t="str">
        <f>IF(Table1[[#This Row],[Age]]&lt;30,"Young (&lt;30)",IF(Table1[[#This Row],[Age]]&lt;=50,"Middle Age (30-50)","Older (&gt;50)"))</f>
        <v>Young (&lt;30)</v>
      </c>
      <c r="K300">
        <v>21</v>
      </c>
      <c r="L300">
        <v>0</v>
      </c>
    </row>
    <row r="301" spans="1:12" x14ac:dyDescent="0.3">
      <c r="A301">
        <v>2</v>
      </c>
      <c r="B301" t="str">
        <f>IF(Table1[[#This Row],[Glucose]]&lt;100,"Normal",IF(Table1[[#This Row],[Glucose]]&lt;126,"Prediabetes","High Risk"))</f>
        <v>Prediabetes</v>
      </c>
      <c r="C301">
        <v>115</v>
      </c>
      <c r="D301">
        <v>64</v>
      </c>
      <c r="E301">
        <v>22</v>
      </c>
      <c r="F301">
        <v>0</v>
      </c>
      <c r="G301" t="str">
        <f>IF(Table1[[#This Row],[BMI]]&lt;18.5,"Underweight",IF(Table1[[#This Row],[BMI]]&lt;25,"Normal",IF(Table1[[#This Row],[BMI]]&lt;30,"Overweight","Obese")))</f>
        <v>Obese</v>
      </c>
      <c r="H301">
        <v>30.8</v>
      </c>
      <c r="I301">
        <v>0.42099999999999999</v>
      </c>
      <c r="J301" t="str">
        <f>IF(Table1[[#This Row],[Age]]&lt;30,"Young (&lt;30)",IF(Table1[[#This Row],[Age]]&lt;=50,"Middle Age (30-50)","Older (&gt;50)"))</f>
        <v>Young (&lt;30)</v>
      </c>
      <c r="K301">
        <v>21</v>
      </c>
      <c r="L301">
        <v>0</v>
      </c>
    </row>
    <row r="302" spans="1:12" x14ac:dyDescent="0.3">
      <c r="A302">
        <v>2</v>
      </c>
      <c r="B302" t="str">
        <f>IF(Table1[[#This Row],[Glucose]]&lt;100,"Normal",IF(Table1[[#This Row],[Glucose]]&lt;126,"Prediabetes","High Risk"))</f>
        <v>Normal</v>
      </c>
      <c r="C302">
        <v>99</v>
      </c>
      <c r="D302">
        <v>0</v>
      </c>
      <c r="E302">
        <v>0</v>
      </c>
      <c r="F302">
        <v>0</v>
      </c>
      <c r="G302" t="str">
        <f>IF(Table1[[#This Row],[BMI]]&lt;18.5,"Underweight",IF(Table1[[#This Row],[BMI]]&lt;25,"Normal",IF(Table1[[#This Row],[BMI]]&lt;30,"Overweight","Obese")))</f>
        <v>Normal</v>
      </c>
      <c r="H302">
        <v>22.2</v>
      </c>
      <c r="I302">
        <v>0.108</v>
      </c>
      <c r="J302" t="str">
        <f>IF(Table1[[#This Row],[Age]]&lt;30,"Young (&lt;30)",IF(Table1[[#This Row],[Age]]&lt;=50,"Middle Age (30-50)","Older (&gt;50)"))</f>
        <v>Young (&lt;30)</v>
      </c>
      <c r="K302">
        <v>23</v>
      </c>
      <c r="L302">
        <v>0</v>
      </c>
    </row>
    <row r="303" spans="1:12" x14ac:dyDescent="0.3">
      <c r="A303">
        <v>2</v>
      </c>
      <c r="B303" t="str">
        <f>IF(Table1[[#This Row],[Glucose]]&lt;100,"Normal",IF(Table1[[#This Row],[Glucose]]&lt;126,"Prediabetes","High Risk"))</f>
        <v>High Risk</v>
      </c>
      <c r="C303">
        <v>139</v>
      </c>
      <c r="D303">
        <v>75</v>
      </c>
      <c r="E303">
        <v>0</v>
      </c>
      <c r="F303">
        <v>0</v>
      </c>
      <c r="G303" t="str">
        <f>IF(Table1[[#This Row],[BMI]]&lt;18.5,"Underweight",IF(Table1[[#This Row],[BMI]]&lt;25,"Normal",IF(Table1[[#This Row],[BMI]]&lt;30,"Overweight","Obese")))</f>
        <v>Overweight</v>
      </c>
      <c r="H303">
        <v>25.6</v>
      </c>
      <c r="I303">
        <v>0.16700000000000001</v>
      </c>
      <c r="J303" t="str">
        <f>IF(Table1[[#This Row],[Age]]&lt;30,"Young (&lt;30)",IF(Table1[[#This Row],[Age]]&lt;=50,"Middle Age (30-50)","Older (&gt;50)"))</f>
        <v>Young (&lt;30)</v>
      </c>
      <c r="K303">
        <v>29</v>
      </c>
      <c r="L303">
        <v>0</v>
      </c>
    </row>
    <row r="304" spans="1:12" x14ac:dyDescent="0.3">
      <c r="A304">
        <v>2</v>
      </c>
      <c r="B304" t="str">
        <f>IF(Table1[[#This Row],[Glucose]]&lt;100,"Normal",IF(Table1[[#This Row],[Glucose]]&lt;126,"Prediabetes","High Risk"))</f>
        <v>Normal</v>
      </c>
      <c r="C304">
        <v>83</v>
      </c>
      <c r="D304">
        <v>66</v>
      </c>
      <c r="E304">
        <v>23</v>
      </c>
      <c r="F304">
        <v>50</v>
      </c>
      <c r="G304" t="str">
        <f>IF(Table1[[#This Row],[BMI]]&lt;18.5,"Underweight",IF(Table1[[#This Row],[BMI]]&lt;25,"Normal",IF(Table1[[#This Row],[BMI]]&lt;30,"Overweight","Obese")))</f>
        <v>Obese</v>
      </c>
      <c r="H304">
        <v>32.200000000000003</v>
      </c>
      <c r="I304">
        <v>0.497</v>
      </c>
      <c r="J304" t="str">
        <f>IF(Table1[[#This Row],[Age]]&lt;30,"Young (&lt;30)",IF(Table1[[#This Row],[Age]]&lt;=50,"Middle Age (30-50)","Older (&gt;50)"))</f>
        <v>Young (&lt;30)</v>
      </c>
      <c r="K304">
        <v>22</v>
      </c>
      <c r="L304">
        <v>0</v>
      </c>
    </row>
    <row r="305" spans="1:12" x14ac:dyDescent="0.3">
      <c r="A305">
        <v>2</v>
      </c>
      <c r="B305" t="str">
        <f>IF(Table1[[#This Row],[Glucose]]&lt;100,"Normal",IF(Table1[[#This Row],[Glucose]]&lt;126,"Prediabetes","High Risk"))</f>
        <v>High Risk</v>
      </c>
      <c r="C305">
        <v>134</v>
      </c>
      <c r="D305">
        <v>70</v>
      </c>
      <c r="E305">
        <v>0</v>
      </c>
      <c r="F305">
        <v>0</v>
      </c>
      <c r="G305" t="str">
        <f>IF(Table1[[#This Row],[BMI]]&lt;18.5,"Underweight",IF(Table1[[#This Row],[BMI]]&lt;25,"Normal",IF(Table1[[#This Row],[BMI]]&lt;30,"Overweight","Obese")))</f>
        <v>Overweight</v>
      </c>
      <c r="H305">
        <v>28.9</v>
      </c>
      <c r="I305">
        <v>0.54200000000000004</v>
      </c>
      <c r="J305" t="str">
        <f>IF(Table1[[#This Row],[Age]]&lt;30,"Young (&lt;30)",IF(Table1[[#This Row],[Age]]&lt;=50,"Middle Age (30-50)","Older (&gt;50)"))</f>
        <v>Young (&lt;30)</v>
      </c>
      <c r="K305">
        <v>23</v>
      </c>
      <c r="L305">
        <v>1</v>
      </c>
    </row>
    <row r="306" spans="1:12" x14ac:dyDescent="0.3">
      <c r="A306">
        <v>2</v>
      </c>
      <c r="B306" t="str">
        <f>IF(Table1[[#This Row],[Glucose]]&lt;100,"Normal",IF(Table1[[#This Row],[Glucose]]&lt;126,"Prediabetes","High Risk"))</f>
        <v>Prediabetes</v>
      </c>
      <c r="C306">
        <v>119</v>
      </c>
      <c r="D306">
        <v>0</v>
      </c>
      <c r="E306">
        <v>0</v>
      </c>
      <c r="F306">
        <v>0</v>
      </c>
      <c r="G306" t="str">
        <f>IF(Table1[[#This Row],[BMI]]&lt;18.5,"Underweight",IF(Table1[[#This Row],[BMI]]&lt;25,"Normal",IF(Table1[[#This Row],[BMI]]&lt;30,"Overweight","Obese")))</f>
        <v>Normal</v>
      </c>
      <c r="H306">
        <v>19.600000000000001</v>
      </c>
      <c r="I306">
        <v>0.83199999999999996</v>
      </c>
      <c r="J306" t="str">
        <f>IF(Table1[[#This Row],[Age]]&lt;30,"Young (&lt;30)",IF(Table1[[#This Row],[Age]]&lt;=50,"Middle Age (30-50)","Older (&gt;50)"))</f>
        <v>Older (&gt;50)</v>
      </c>
      <c r="K306">
        <v>72</v>
      </c>
      <c r="L306">
        <v>0</v>
      </c>
    </row>
    <row r="307" spans="1:12" x14ac:dyDescent="0.3">
      <c r="A307">
        <v>2</v>
      </c>
      <c r="B307" t="str">
        <f>IF(Table1[[#This Row],[Glucose]]&lt;100,"Normal",IF(Table1[[#This Row],[Glucose]]&lt;126,"Prediabetes","High Risk"))</f>
        <v>Prediabetes</v>
      </c>
      <c r="C307">
        <v>100</v>
      </c>
      <c r="D307">
        <v>54</v>
      </c>
      <c r="E307">
        <v>28</v>
      </c>
      <c r="F307">
        <v>105</v>
      </c>
      <c r="G307" t="str">
        <f>IF(Table1[[#This Row],[BMI]]&lt;18.5,"Underweight",IF(Table1[[#This Row],[BMI]]&lt;25,"Normal",IF(Table1[[#This Row],[BMI]]&lt;30,"Overweight","Obese")))</f>
        <v>Obese</v>
      </c>
      <c r="H307">
        <v>37.799999999999997</v>
      </c>
      <c r="I307">
        <v>0.498</v>
      </c>
      <c r="J307" t="str">
        <f>IF(Table1[[#This Row],[Age]]&lt;30,"Young (&lt;30)",IF(Table1[[#This Row],[Age]]&lt;=50,"Middle Age (30-50)","Older (&gt;50)"))</f>
        <v>Young (&lt;30)</v>
      </c>
      <c r="K307">
        <v>24</v>
      </c>
      <c r="L307">
        <v>0</v>
      </c>
    </row>
    <row r="308" spans="1:12" x14ac:dyDescent="0.3">
      <c r="A308">
        <v>2</v>
      </c>
      <c r="B308" t="str">
        <f>IF(Table1[[#This Row],[Glucose]]&lt;100,"Normal",IF(Table1[[#This Row],[Glucose]]&lt;126,"Prediabetes","High Risk"))</f>
        <v>Prediabetes</v>
      </c>
      <c r="C308">
        <v>105</v>
      </c>
      <c r="D308">
        <v>80</v>
      </c>
      <c r="E308">
        <v>45</v>
      </c>
      <c r="F308">
        <v>191</v>
      </c>
      <c r="G308" t="str">
        <f>IF(Table1[[#This Row],[BMI]]&lt;18.5,"Underweight",IF(Table1[[#This Row],[BMI]]&lt;25,"Normal",IF(Table1[[#This Row],[BMI]]&lt;30,"Overweight","Obese")))</f>
        <v>Obese</v>
      </c>
      <c r="H308">
        <v>33.700000000000003</v>
      </c>
      <c r="I308">
        <v>0.71099999999999997</v>
      </c>
      <c r="J308" t="str">
        <f>IF(Table1[[#This Row],[Age]]&lt;30,"Young (&lt;30)",IF(Table1[[#This Row],[Age]]&lt;=50,"Middle Age (30-50)","Older (&gt;50)"))</f>
        <v>Young (&lt;30)</v>
      </c>
      <c r="K308">
        <v>29</v>
      </c>
      <c r="L308">
        <v>1</v>
      </c>
    </row>
    <row r="309" spans="1:12" x14ac:dyDescent="0.3">
      <c r="A309">
        <v>2</v>
      </c>
      <c r="B309" t="str">
        <f>IF(Table1[[#This Row],[Glucose]]&lt;100,"Normal",IF(Table1[[#This Row],[Glucose]]&lt;126,"Prediabetes","High Risk"))</f>
        <v>Normal</v>
      </c>
      <c r="C309">
        <v>83</v>
      </c>
      <c r="D309">
        <v>65</v>
      </c>
      <c r="E309">
        <v>28</v>
      </c>
      <c r="F309">
        <v>66</v>
      </c>
      <c r="G309" t="str">
        <f>IF(Table1[[#This Row],[BMI]]&lt;18.5,"Underweight",IF(Table1[[#This Row],[BMI]]&lt;25,"Normal",IF(Table1[[#This Row],[BMI]]&lt;30,"Overweight","Obese")))</f>
        <v>Obese</v>
      </c>
      <c r="H309">
        <v>36.799999999999997</v>
      </c>
      <c r="I309">
        <v>0.629</v>
      </c>
      <c r="J309" t="str">
        <f>IF(Table1[[#This Row],[Age]]&lt;30,"Young (&lt;30)",IF(Table1[[#This Row],[Age]]&lt;=50,"Middle Age (30-50)","Older (&gt;50)"))</f>
        <v>Young (&lt;30)</v>
      </c>
      <c r="K309">
        <v>24</v>
      </c>
      <c r="L309">
        <v>0</v>
      </c>
    </row>
    <row r="310" spans="1:12" x14ac:dyDescent="0.3">
      <c r="A310">
        <v>2</v>
      </c>
      <c r="B310" t="str">
        <f>IF(Table1[[#This Row],[Glucose]]&lt;100,"Normal",IF(Table1[[#This Row],[Glucose]]&lt;126,"Prediabetes","High Risk"))</f>
        <v>Normal</v>
      </c>
      <c r="C310">
        <v>89</v>
      </c>
      <c r="D310">
        <v>90</v>
      </c>
      <c r="E310">
        <v>30</v>
      </c>
      <c r="F310">
        <v>0</v>
      </c>
      <c r="G310" t="str">
        <f>IF(Table1[[#This Row],[BMI]]&lt;18.5,"Underweight",IF(Table1[[#This Row],[BMI]]&lt;25,"Normal",IF(Table1[[#This Row],[BMI]]&lt;30,"Overweight","Obese")))</f>
        <v>Obese</v>
      </c>
      <c r="H310">
        <v>33.5</v>
      </c>
      <c r="I310">
        <v>0.29199999999999998</v>
      </c>
      <c r="J310" t="str">
        <f>IF(Table1[[#This Row],[Age]]&lt;30,"Young (&lt;30)",IF(Table1[[#This Row],[Age]]&lt;=50,"Middle Age (30-50)","Older (&gt;50)"))</f>
        <v>Middle Age (30-50)</v>
      </c>
      <c r="K310">
        <v>42</v>
      </c>
      <c r="L310">
        <v>0</v>
      </c>
    </row>
    <row r="311" spans="1:12" x14ac:dyDescent="0.3">
      <c r="A311">
        <v>2</v>
      </c>
      <c r="B311" t="str">
        <f>IF(Table1[[#This Row],[Glucose]]&lt;100,"Normal",IF(Table1[[#This Row],[Glucose]]&lt;126,"Prediabetes","High Risk"))</f>
        <v>Normal</v>
      </c>
      <c r="C311">
        <v>81</v>
      </c>
      <c r="D311">
        <v>72</v>
      </c>
      <c r="E311">
        <v>15</v>
      </c>
      <c r="F311">
        <v>76</v>
      </c>
      <c r="G311" t="str">
        <f>IF(Table1[[#This Row],[BMI]]&lt;18.5,"Underweight",IF(Table1[[#This Row],[BMI]]&lt;25,"Normal",IF(Table1[[#This Row],[BMI]]&lt;30,"Overweight","Obese")))</f>
        <v>Obese</v>
      </c>
      <c r="H311">
        <v>30.1</v>
      </c>
      <c r="I311">
        <v>0.54700000000000004</v>
      </c>
      <c r="J311" t="str">
        <f>IF(Table1[[#This Row],[Age]]&lt;30,"Young (&lt;30)",IF(Table1[[#This Row],[Age]]&lt;=50,"Middle Age (30-50)","Older (&gt;50)"))</f>
        <v>Young (&lt;30)</v>
      </c>
      <c r="K311">
        <v>25</v>
      </c>
      <c r="L311">
        <v>0</v>
      </c>
    </row>
    <row r="312" spans="1:12" x14ac:dyDescent="0.3">
      <c r="A312">
        <v>2</v>
      </c>
      <c r="B312" t="str">
        <f>IF(Table1[[#This Row],[Glucose]]&lt;100,"Normal",IF(Table1[[#This Row],[Glucose]]&lt;126,"Prediabetes","High Risk"))</f>
        <v>Prediabetes</v>
      </c>
      <c r="C312">
        <v>117</v>
      </c>
      <c r="D312">
        <v>90</v>
      </c>
      <c r="E312">
        <v>19</v>
      </c>
      <c r="F312">
        <v>71</v>
      </c>
      <c r="G312" t="str">
        <f>IF(Table1[[#This Row],[BMI]]&lt;18.5,"Underweight",IF(Table1[[#This Row],[BMI]]&lt;25,"Normal",IF(Table1[[#This Row],[BMI]]&lt;30,"Overweight","Obese")))</f>
        <v>Overweight</v>
      </c>
      <c r="H312">
        <v>25.2</v>
      </c>
      <c r="I312">
        <v>0.313</v>
      </c>
      <c r="J312" t="str">
        <f>IF(Table1[[#This Row],[Age]]&lt;30,"Young (&lt;30)",IF(Table1[[#This Row],[Age]]&lt;=50,"Middle Age (30-50)","Older (&gt;50)"))</f>
        <v>Young (&lt;30)</v>
      </c>
      <c r="K312">
        <v>21</v>
      </c>
      <c r="L312">
        <v>0</v>
      </c>
    </row>
    <row r="313" spans="1:12" x14ac:dyDescent="0.3">
      <c r="A313">
        <v>2</v>
      </c>
      <c r="B313" t="str">
        <f>IF(Table1[[#This Row],[Glucose]]&lt;100,"Normal",IF(Table1[[#This Row],[Glucose]]&lt;126,"Prediabetes","High Risk"))</f>
        <v>Normal</v>
      </c>
      <c r="C313">
        <v>84</v>
      </c>
      <c r="D313">
        <v>50</v>
      </c>
      <c r="E313">
        <v>23</v>
      </c>
      <c r="F313">
        <v>76</v>
      </c>
      <c r="G313" t="str">
        <f>IF(Table1[[#This Row],[BMI]]&lt;18.5,"Underweight",IF(Table1[[#This Row],[BMI]]&lt;25,"Normal",IF(Table1[[#This Row],[BMI]]&lt;30,"Overweight","Obese")))</f>
        <v>Obese</v>
      </c>
      <c r="H313">
        <v>30.4</v>
      </c>
      <c r="I313">
        <v>0.96799999999999997</v>
      </c>
      <c r="J313" t="str">
        <f>IF(Table1[[#This Row],[Age]]&lt;30,"Young (&lt;30)",IF(Table1[[#This Row],[Age]]&lt;=50,"Middle Age (30-50)","Older (&gt;50)"))</f>
        <v>Young (&lt;30)</v>
      </c>
      <c r="K313">
        <v>21</v>
      </c>
      <c r="L313">
        <v>0</v>
      </c>
    </row>
    <row r="314" spans="1:12" x14ac:dyDescent="0.3">
      <c r="A314">
        <v>2</v>
      </c>
      <c r="B314" t="str">
        <f>IF(Table1[[#This Row],[Glucose]]&lt;100,"Normal",IF(Table1[[#This Row],[Glucose]]&lt;126,"Prediabetes","High Risk"))</f>
        <v>Normal</v>
      </c>
      <c r="C314">
        <v>91</v>
      </c>
      <c r="D314">
        <v>62</v>
      </c>
      <c r="E314">
        <v>0</v>
      </c>
      <c r="F314">
        <v>0</v>
      </c>
      <c r="G314" t="str">
        <f>IF(Table1[[#This Row],[BMI]]&lt;18.5,"Underweight",IF(Table1[[#This Row],[BMI]]&lt;25,"Normal",IF(Table1[[#This Row],[BMI]]&lt;30,"Overweight","Obese")))</f>
        <v>Overweight</v>
      </c>
      <c r="H314">
        <v>27.3</v>
      </c>
      <c r="I314">
        <v>0.52500000000000002</v>
      </c>
      <c r="J314" t="str">
        <f>IF(Table1[[#This Row],[Age]]&lt;30,"Young (&lt;30)",IF(Table1[[#This Row],[Age]]&lt;=50,"Middle Age (30-50)","Older (&gt;50)"))</f>
        <v>Young (&lt;30)</v>
      </c>
      <c r="K314">
        <v>22</v>
      </c>
      <c r="L314">
        <v>0</v>
      </c>
    </row>
    <row r="315" spans="1:12" x14ac:dyDescent="0.3">
      <c r="A315">
        <v>2</v>
      </c>
      <c r="B315" t="str">
        <f>IF(Table1[[#This Row],[Glucose]]&lt;100,"Normal",IF(Table1[[#This Row],[Glucose]]&lt;126,"Prediabetes","High Risk"))</f>
        <v>Normal</v>
      </c>
      <c r="C315">
        <v>68</v>
      </c>
      <c r="D315">
        <v>70</v>
      </c>
      <c r="E315">
        <v>32</v>
      </c>
      <c r="F315">
        <v>66</v>
      </c>
      <c r="G315" t="str">
        <f>IF(Table1[[#This Row],[BMI]]&lt;18.5,"Underweight",IF(Table1[[#This Row],[BMI]]&lt;25,"Normal",IF(Table1[[#This Row],[BMI]]&lt;30,"Overweight","Obese")))</f>
        <v>Overweight</v>
      </c>
      <c r="H315">
        <v>25</v>
      </c>
      <c r="I315">
        <v>0.187</v>
      </c>
      <c r="J315" t="str">
        <f>IF(Table1[[#This Row],[Age]]&lt;30,"Young (&lt;30)",IF(Table1[[#This Row],[Age]]&lt;=50,"Middle Age (30-50)","Older (&gt;50)"))</f>
        <v>Young (&lt;30)</v>
      </c>
      <c r="K315">
        <v>25</v>
      </c>
      <c r="L315">
        <v>0</v>
      </c>
    </row>
    <row r="316" spans="1:12" x14ac:dyDescent="0.3">
      <c r="A316">
        <v>2</v>
      </c>
      <c r="B316" t="str">
        <f>IF(Table1[[#This Row],[Glucose]]&lt;100,"Normal",IF(Table1[[#This Row],[Glucose]]&lt;126,"Prediabetes","High Risk"))</f>
        <v>Prediabetes</v>
      </c>
      <c r="C316">
        <v>122</v>
      </c>
      <c r="D316">
        <v>60</v>
      </c>
      <c r="E316">
        <v>18</v>
      </c>
      <c r="F316">
        <v>106</v>
      </c>
      <c r="G316" t="str">
        <f>IF(Table1[[#This Row],[BMI]]&lt;18.5,"Underweight",IF(Table1[[#This Row],[BMI]]&lt;25,"Normal",IF(Table1[[#This Row],[BMI]]&lt;30,"Overweight","Obese")))</f>
        <v>Overweight</v>
      </c>
      <c r="H316">
        <v>29.8</v>
      </c>
      <c r="I316">
        <v>0.71699999999999997</v>
      </c>
      <c r="J316" t="str">
        <f>IF(Table1[[#This Row],[Age]]&lt;30,"Young (&lt;30)",IF(Table1[[#This Row],[Age]]&lt;=50,"Middle Age (30-50)","Older (&gt;50)"))</f>
        <v>Young (&lt;30)</v>
      </c>
      <c r="K316">
        <v>22</v>
      </c>
      <c r="L316">
        <v>0</v>
      </c>
    </row>
    <row r="317" spans="1:12" x14ac:dyDescent="0.3">
      <c r="A317">
        <v>2</v>
      </c>
      <c r="B317" t="str">
        <f>IF(Table1[[#This Row],[Glucose]]&lt;100,"Normal",IF(Table1[[#This Row],[Glucose]]&lt;126,"Prediabetes","High Risk"))</f>
        <v>Normal</v>
      </c>
      <c r="C317">
        <v>95</v>
      </c>
      <c r="D317">
        <v>54</v>
      </c>
      <c r="E317">
        <v>14</v>
      </c>
      <c r="F317">
        <v>88</v>
      </c>
      <c r="G317" t="str">
        <f>IF(Table1[[#This Row],[BMI]]&lt;18.5,"Underweight",IF(Table1[[#This Row],[BMI]]&lt;25,"Normal",IF(Table1[[#This Row],[BMI]]&lt;30,"Overweight","Obese")))</f>
        <v>Overweight</v>
      </c>
      <c r="H317">
        <v>26.1</v>
      </c>
      <c r="I317">
        <v>0.748</v>
      </c>
      <c r="J317" t="str">
        <f>IF(Table1[[#This Row],[Age]]&lt;30,"Young (&lt;30)",IF(Table1[[#This Row],[Age]]&lt;=50,"Middle Age (30-50)","Older (&gt;50)"))</f>
        <v>Young (&lt;30)</v>
      </c>
      <c r="K317">
        <v>22</v>
      </c>
      <c r="L317">
        <v>0</v>
      </c>
    </row>
    <row r="318" spans="1:12" x14ac:dyDescent="0.3">
      <c r="A318">
        <v>2</v>
      </c>
      <c r="B318" t="str">
        <f>IF(Table1[[#This Row],[Glucose]]&lt;100,"Normal",IF(Table1[[#This Row],[Glucose]]&lt;126,"Prediabetes","High Risk"))</f>
        <v>High Risk</v>
      </c>
      <c r="C318">
        <v>130</v>
      </c>
      <c r="D318">
        <v>96</v>
      </c>
      <c r="E318">
        <v>0</v>
      </c>
      <c r="F318">
        <v>0</v>
      </c>
      <c r="G318" t="str">
        <f>IF(Table1[[#This Row],[BMI]]&lt;18.5,"Underweight",IF(Table1[[#This Row],[BMI]]&lt;25,"Normal",IF(Table1[[#This Row],[BMI]]&lt;30,"Overweight","Obese")))</f>
        <v>Normal</v>
      </c>
      <c r="H318">
        <v>22.6</v>
      </c>
      <c r="I318">
        <v>0.26800000000000002</v>
      </c>
      <c r="J318" t="str">
        <f>IF(Table1[[#This Row],[Age]]&lt;30,"Young (&lt;30)",IF(Table1[[#This Row],[Age]]&lt;=50,"Middle Age (30-50)","Older (&gt;50)"))</f>
        <v>Young (&lt;30)</v>
      </c>
      <c r="K318">
        <v>21</v>
      </c>
      <c r="L318">
        <v>0</v>
      </c>
    </row>
    <row r="319" spans="1:12" x14ac:dyDescent="0.3">
      <c r="A319">
        <v>2</v>
      </c>
      <c r="B319" t="str">
        <f>IF(Table1[[#This Row],[Glucose]]&lt;100,"Normal",IF(Table1[[#This Row],[Glucose]]&lt;126,"Prediabetes","High Risk"))</f>
        <v>Normal</v>
      </c>
      <c r="C319">
        <v>98</v>
      </c>
      <c r="D319">
        <v>60</v>
      </c>
      <c r="E319">
        <v>17</v>
      </c>
      <c r="F319">
        <v>120</v>
      </c>
      <c r="G319" t="str">
        <f>IF(Table1[[#This Row],[BMI]]&lt;18.5,"Underweight",IF(Table1[[#This Row],[BMI]]&lt;25,"Normal",IF(Table1[[#This Row],[BMI]]&lt;30,"Overweight","Obese")))</f>
        <v>Obese</v>
      </c>
      <c r="H319">
        <v>34.700000000000003</v>
      </c>
      <c r="I319">
        <v>0.19800000000000001</v>
      </c>
      <c r="J319" t="str">
        <f>IF(Table1[[#This Row],[Age]]&lt;30,"Young (&lt;30)",IF(Table1[[#This Row],[Age]]&lt;=50,"Middle Age (30-50)","Older (&gt;50)"))</f>
        <v>Young (&lt;30)</v>
      </c>
      <c r="K319">
        <v>22</v>
      </c>
      <c r="L319">
        <v>0</v>
      </c>
    </row>
    <row r="320" spans="1:12" x14ac:dyDescent="0.3">
      <c r="A320">
        <v>2</v>
      </c>
      <c r="B320" t="str">
        <f>IF(Table1[[#This Row],[Glucose]]&lt;100,"Normal",IF(Table1[[#This Row],[Glucose]]&lt;126,"Prediabetes","High Risk"))</f>
        <v>Prediabetes</v>
      </c>
      <c r="C320">
        <v>118</v>
      </c>
      <c r="D320">
        <v>80</v>
      </c>
      <c r="E320">
        <v>0</v>
      </c>
      <c r="F320">
        <v>0</v>
      </c>
      <c r="G320" t="str">
        <f>IF(Table1[[#This Row],[BMI]]&lt;18.5,"Underweight",IF(Table1[[#This Row],[BMI]]&lt;25,"Normal",IF(Table1[[#This Row],[BMI]]&lt;30,"Overweight","Obese")))</f>
        <v>Obese</v>
      </c>
      <c r="H320">
        <v>42.9</v>
      </c>
      <c r="I320">
        <v>0.69299999999999995</v>
      </c>
      <c r="J320" t="str">
        <f>IF(Table1[[#This Row],[Age]]&lt;30,"Young (&lt;30)",IF(Table1[[#This Row],[Age]]&lt;=50,"Middle Age (30-50)","Older (&gt;50)"))</f>
        <v>Young (&lt;30)</v>
      </c>
      <c r="K320">
        <v>21</v>
      </c>
      <c r="L320">
        <v>1</v>
      </c>
    </row>
    <row r="321" spans="1:12" x14ac:dyDescent="0.3">
      <c r="A321">
        <v>2</v>
      </c>
      <c r="B321" t="str">
        <f>IF(Table1[[#This Row],[Glucose]]&lt;100,"Normal",IF(Table1[[#This Row],[Glucose]]&lt;126,"Prediabetes","High Risk"))</f>
        <v>High Risk</v>
      </c>
      <c r="C321">
        <v>197</v>
      </c>
      <c r="D321">
        <v>70</v>
      </c>
      <c r="E321">
        <v>99</v>
      </c>
      <c r="F321">
        <v>0</v>
      </c>
      <c r="G321" t="str">
        <f>IF(Table1[[#This Row],[BMI]]&lt;18.5,"Underweight",IF(Table1[[#This Row],[BMI]]&lt;25,"Normal",IF(Table1[[#This Row],[BMI]]&lt;30,"Overweight","Obese")))</f>
        <v>Obese</v>
      </c>
      <c r="H321">
        <v>34.700000000000003</v>
      </c>
      <c r="I321">
        <v>0.57499999999999996</v>
      </c>
      <c r="J321" t="str">
        <f>IF(Table1[[#This Row],[Age]]&lt;30,"Young (&lt;30)",IF(Table1[[#This Row],[Age]]&lt;=50,"Middle Age (30-50)","Older (&gt;50)"))</f>
        <v>Older (&gt;50)</v>
      </c>
      <c r="K321">
        <v>62</v>
      </c>
      <c r="L321">
        <v>1</v>
      </c>
    </row>
    <row r="322" spans="1:12" x14ac:dyDescent="0.3">
      <c r="A322">
        <v>2</v>
      </c>
      <c r="B322" t="str">
        <f>IF(Table1[[#This Row],[Glucose]]&lt;100,"Normal",IF(Table1[[#This Row],[Glucose]]&lt;126,"Prediabetes","High Risk"))</f>
        <v>Prediabetes</v>
      </c>
      <c r="C322">
        <v>112</v>
      </c>
      <c r="D322">
        <v>78</v>
      </c>
      <c r="E322">
        <v>50</v>
      </c>
      <c r="F322">
        <v>140</v>
      </c>
      <c r="G322" t="str">
        <f>IF(Table1[[#This Row],[BMI]]&lt;18.5,"Underweight",IF(Table1[[#This Row],[BMI]]&lt;25,"Normal",IF(Table1[[#This Row],[BMI]]&lt;30,"Overweight","Obese")))</f>
        <v>Obese</v>
      </c>
      <c r="H322">
        <v>39.4</v>
      </c>
      <c r="I322">
        <v>0.17499999999999999</v>
      </c>
      <c r="J322" t="str">
        <f>IF(Table1[[#This Row],[Age]]&lt;30,"Young (&lt;30)",IF(Table1[[#This Row],[Age]]&lt;=50,"Middle Age (30-50)","Older (&gt;50)"))</f>
        <v>Young (&lt;30)</v>
      </c>
      <c r="K322">
        <v>24</v>
      </c>
      <c r="L322">
        <v>0</v>
      </c>
    </row>
    <row r="323" spans="1:12" x14ac:dyDescent="0.3">
      <c r="A323">
        <v>2</v>
      </c>
      <c r="B323" t="str">
        <f>IF(Table1[[#This Row],[Glucose]]&lt;100,"Normal",IF(Table1[[#This Row],[Glucose]]&lt;126,"Prediabetes","High Risk"))</f>
        <v>Normal</v>
      </c>
      <c r="C323">
        <v>82</v>
      </c>
      <c r="D323">
        <v>52</v>
      </c>
      <c r="E323">
        <v>22</v>
      </c>
      <c r="F323">
        <v>115</v>
      </c>
      <c r="G323" t="str">
        <f>IF(Table1[[#This Row],[BMI]]&lt;18.5,"Underweight",IF(Table1[[#This Row],[BMI]]&lt;25,"Normal",IF(Table1[[#This Row],[BMI]]&lt;30,"Overweight","Obese")))</f>
        <v>Overweight</v>
      </c>
      <c r="H323">
        <v>28.5</v>
      </c>
      <c r="I323">
        <v>1.6990000000000001</v>
      </c>
      <c r="J323" t="str">
        <f>IF(Table1[[#This Row],[Age]]&lt;30,"Young (&lt;30)",IF(Table1[[#This Row],[Age]]&lt;=50,"Middle Age (30-50)","Older (&gt;50)"))</f>
        <v>Young (&lt;30)</v>
      </c>
      <c r="K323">
        <v>25</v>
      </c>
      <c r="L323">
        <v>0</v>
      </c>
    </row>
    <row r="324" spans="1:12" x14ac:dyDescent="0.3">
      <c r="A324">
        <v>2</v>
      </c>
      <c r="B324" t="str">
        <f>IF(Table1[[#This Row],[Glucose]]&lt;100,"Normal",IF(Table1[[#This Row],[Glucose]]&lt;126,"Prediabetes","High Risk"))</f>
        <v>Normal</v>
      </c>
      <c r="C324">
        <v>68</v>
      </c>
      <c r="D324">
        <v>62</v>
      </c>
      <c r="E324">
        <v>13</v>
      </c>
      <c r="F324">
        <v>15</v>
      </c>
      <c r="G324" t="str">
        <f>IF(Table1[[#This Row],[BMI]]&lt;18.5,"Underweight",IF(Table1[[#This Row],[BMI]]&lt;25,"Normal",IF(Table1[[#This Row],[BMI]]&lt;30,"Overweight","Obese")))</f>
        <v>Normal</v>
      </c>
      <c r="H324">
        <v>20.100000000000001</v>
      </c>
      <c r="I324">
        <v>0.25700000000000001</v>
      </c>
      <c r="J324" t="str">
        <f>IF(Table1[[#This Row],[Age]]&lt;30,"Young (&lt;30)",IF(Table1[[#This Row],[Age]]&lt;=50,"Middle Age (30-50)","Older (&gt;50)"))</f>
        <v>Young (&lt;30)</v>
      </c>
      <c r="K324">
        <v>23</v>
      </c>
      <c r="L324">
        <v>0</v>
      </c>
    </row>
    <row r="325" spans="1:12" x14ac:dyDescent="0.3">
      <c r="A325">
        <v>2</v>
      </c>
      <c r="B325" t="str">
        <f>IF(Table1[[#This Row],[Glucose]]&lt;100,"Normal",IF(Table1[[#This Row],[Glucose]]&lt;126,"Prediabetes","High Risk"))</f>
        <v>Prediabetes</v>
      </c>
      <c r="C325">
        <v>112</v>
      </c>
      <c r="D325">
        <v>86</v>
      </c>
      <c r="E325">
        <v>42</v>
      </c>
      <c r="F325">
        <v>160</v>
      </c>
      <c r="G325" t="str">
        <f>IF(Table1[[#This Row],[BMI]]&lt;18.5,"Underweight",IF(Table1[[#This Row],[BMI]]&lt;25,"Normal",IF(Table1[[#This Row],[BMI]]&lt;30,"Overweight","Obese")))</f>
        <v>Obese</v>
      </c>
      <c r="H325">
        <v>38.4</v>
      </c>
      <c r="I325">
        <v>0.246</v>
      </c>
      <c r="J325" t="str">
        <f>IF(Table1[[#This Row],[Age]]&lt;30,"Young (&lt;30)",IF(Table1[[#This Row],[Age]]&lt;=50,"Middle Age (30-50)","Older (&gt;50)"))</f>
        <v>Young (&lt;30)</v>
      </c>
      <c r="K325">
        <v>28</v>
      </c>
      <c r="L325">
        <v>0</v>
      </c>
    </row>
    <row r="326" spans="1:12" x14ac:dyDescent="0.3">
      <c r="A326">
        <v>2</v>
      </c>
      <c r="B326" t="str">
        <f>IF(Table1[[#This Row],[Glucose]]&lt;100,"Normal",IF(Table1[[#This Row],[Glucose]]&lt;126,"Prediabetes","High Risk"))</f>
        <v>Normal</v>
      </c>
      <c r="C326">
        <v>92</v>
      </c>
      <c r="D326">
        <v>76</v>
      </c>
      <c r="E326">
        <v>20</v>
      </c>
      <c r="F326">
        <v>0</v>
      </c>
      <c r="G326" t="str">
        <f>IF(Table1[[#This Row],[BMI]]&lt;18.5,"Underweight",IF(Table1[[#This Row],[BMI]]&lt;25,"Normal",IF(Table1[[#This Row],[BMI]]&lt;30,"Overweight","Obese")))</f>
        <v>Normal</v>
      </c>
      <c r="H326">
        <v>24.2</v>
      </c>
      <c r="I326">
        <v>1.698</v>
      </c>
      <c r="J326" t="str">
        <f>IF(Table1[[#This Row],[Age]]&lt;30,"Young (&lt;30)",IF(Table1[[#This Row],[Age]]&lt;=50,"Middle Age (30-50)","Older (&gt;50)"))</f>
        <v>Young (&lt;30)</v>
      </c>
      <c r="K326">
        <v>28</v>
      </c>
      <c r="L326">
        <v>0</v>
      </c>
    </row>
    <row r="327" spans="1:12" x14ac:dyDescent="0.3">
      <c r="A327">
        <v>2</v>
      </c>
      <c r="B327" t="str">
        <f>IF(Table1[[#This Row],[Glucose]]&lt;100,"Normal",IF(Table1[[#This Row],[Glucose]]&lt;126,"Prediabetes","High Risk"))</f>
        <v>Prediabetes</v>
      </c>
      <c r="C327">
        <v>108</v>
      </c>
      <c r="D327">
        <v>64</v>
      </c>
      <c r="E327">
        <v>0</v>
      </c>
      <c r="F327">
        <v>0</v>
      </c>
      <c r="G327" t="str">
        <f>IF(Table1[[#This Row],[BMI]]&lt;18.5,"Underweight",IF(Table1[[#This Row],[BMI]]&lt;25,"Normal",IF(Table1[[#This Row],[BMI]]&lt;30,"Overweight","Obese")))</f>
        <v>Obese</v>
      </c>
      <c r="H327">
        <v>30.8</v>
      </c>
      <c r="I327">
        <v>0.158</v>
      </c>
      <c r="J327" t="str">
        <f>IF(Table1[[#This Row],[Age]]&lt;30,"Young (&lt;30)",IF(Table1[[#This Row],[Age]]&lt;=50,"Middle Age (30-50)","Older (&gt;50)"))</f>
        <v>Young (&lt;30)</v>
      </c>
      <c r="K327">
        <v>21</v>
      </c>
      <c r="L327">
        <v>0</v>
      </c>
    </row>
    <row r="328" spans="1:12" x14ac:dyDescent="0.3">
      <c r="A328">
        <v>2</v>
      </c>
      <c r="B328" t="str">
        <f>IF(Table1[[#This Row],[Glucose]]&lt;100,"Normal",IF(Table1[[#This Row],[Glucose]]&lt;126,"Prediabetes","High Risk"))</f>
        <v>Prediabetes</v>
      </c>
      <c r="C328">
        <v>111</v>
      </c>
      <c r="D328">
        <v>60</v>
      </c>
      <c r="E328">
        <v>0</v>
      </c>
      <c r="F328">
        <v>0</v>
      </c>
      <c r="G328" t="str">
        <f>IF(Table1[[#This Row],[BMI]]&lt;18.5,"Underweight",IF(Table1[[#This Row],[BMI]]&lt;25,"Normal",IF(Table1[[#This Row],[BMI]]&lt;30,"Overweight","Obese")))</f>
        <v>Overweight</v>
      </c>
      <c r="H328">
        <v>26.2</v>
      </c>
      <c r="I328">
        <v>0.34300000000000003</v>
      </c>
      <c r="J328" t="str">
        <f>IF(Table1[[#This Row],[Age]]&lt;30,"Young (&lt;30)",IF(Table1[[#This Row],[Age]]&lt;=50,"Middle Age (30-50)","Older (&gt;50)"))</f>
        <v>Young (&lt;30)</v>
      </c>
      <c r="K328">
        <v>23</v>
      </c>
      <c r="L328">
        <v>0</v>
      </c>
    </row>
    <row r="329" spans="1:12" x14ac:dyDescent="0.3">
      <c r="A329">
        <v>2</v>
      </c>
      <c r="B329" t="str">
        <f>IF(Table1[[#This Row],[Glucose]]&lt;100,"Normal",IF(Table1[[#This Row],[Glucose]]&lt;126,"Prediabetes","High Risk"))</f>
        <v>Normal</v>
      </c>
      <c r="C329">
        <v>94</v>
      </c>
      <c r="D329">
        <v>76</v>
      </c>
      <c r="E329">
        <v>18</v>
      </c>
      <c r="F329">
        <v>66</v>
      </c>
      <c r="G329" t="str">
        <f>IF(Table1[[#This Row],[BMI]]&lt;18.5,"Underweight",IF(Table1[[#This Row],[BMI]]&lt;25,"Normal",IF(Table1[[#This Row],[BMI]]&lt;30,"Overweight","Obese")))</f>
        <v>Obese</v>
      </c>
      <c r="H329">
        <v>31.6</v>
      </c>
      <c r="I329">
        <v>0.64900000000000002</v>
      </c>
      <c r="J329" t="str">
        <f>IF(Table1[[#This Row],[Age]]&lt;30,"Young (&lt;30)",IF(Table1[[#This Row],[Age]]&lt;=50,"Middle Age (30-50)","Older (&gt;50)"))</f>
        <v>Young (&lt;30)</v>
      </c>
      <c r="K329">
        <v>23</v>
      </c>
      <c r="L329">
        <v>0</v>
      </c>
    </row>
    <row r="330" spans="1:12" x14ac:dyDescent="0.3">
      <c r="A330">
        <v>2</v>
      </c>
      <c r="B330" t="str">
        <f>IF(Table1[[#This Row],[Glucose]]&lt;100,"Normal",IF(Table1[[#This Row],[Glucose]]&lt;126,"Prediabetes","High Risk"))</f>
        <v>High Risk</v>
      </c>
      <c r="C330">
        <v>157</v>
      </c>
      <c r="D330">
        <v>74</v>
      </c>
      <c r="E330">
        <v>35</v>
      </c>
      <c r="F330">
        <v>440</v>
      </c>
      <c r="G330" t="str">
        <f>IF(Table1[[#This Row],[BMI]]&lt;18.5,"Underweight",IF(Table1[[#This Row],[BMI]]&lt;25,"Normal",IF(Table1[[#This Row],[BMI]]&lt;30,"Overweight","Obese")))</f>
        <v>Obese</v>
      </c>
      <c r="H330">
        <v>39.4</v>
      </c>
      <c r="I330">
        <v>0.13400000000000001</v>
      </c>
      <c r="J330" t="str">
        <f>IF(Table1[[#This Row],[Age]]&lt;30,"Young (&lt;30)",IF(Table1[[#This Row],[Age]]&lt;=50,"Middle Age (30-50)","Older (&gt;50)"))</f>
        <v>Middle Age (30-50)</v>
      </c>
      <c r="K330">
        <v>30</v>
      </c>
      <c r="L330">
        <v>0</v>
      </c>
    </row>
    <row r="331" spans="1:12" x14ac:dyDescent="0.3">
      <c r="A331">
        <v>2</v>
      </c>
      <c r="B331" t="str">
        <f>IF(Table1[[#This Row],[Glucose]]&lt;100,"Normal",IF(Table1[[#This Row],[Glucose]]&lt;126,"Prediabetes","High Risk"))</f>
        <v>Prediabetes</v>
      </c>
      <c r="C331">
        <v>120</v>
      </c>
      <c r="D331">
        <v>54</v>
      </c>
      <c r="E331">
        <v>0</v>
      </c>
      <c r="F331">
        <v>0</v>
      </c>
      <c r="G331" t="str">
        <f>IF(Table1[[#This Row],[BMI]]&lt;18.5,"Underweight",IF(Table1[[#This Row],[BMI]]&lt;25,"Normal",IF(Table1[[#This Row],[BMI]]&lt;30,"Overweight","Obese")))</f>
        <v>Overweight</v>
      </c>
      <c r="H331">
        <v>26.8</v>
      </c>
      <c r="I331">
        <v>0.45500000000000002</v>
      </c>
      <c r="J331" t="str">
        <f>IF(Table1[[#This Row],[Age]]&lt;30,"Young (&lt;30)",IF(Table1[[#This Row],[Age]]&lt;=50,"Middle Age (30-50)","Older (&gt;50)"))</f>
        <v>Young (&lt;30)</v>
      </c>
      <c r="K331">
        <v>27</v>
      </c>
      <c r="L331">
        <v>0</v>
      </c>
    </row>
    <row r="332" spans="1:12" x14ac:dyDescent="0.3">
      <c r="A332">
        <v>2</v>
      </c>
      <c r="B332" t="str">
        <f>IF(Table1[[#This Row],[Glucose]]&lt;100,"Normal",IF(Table1[[#This Row],[Glucose]]&lt;126,"Prediabetes","High Risk"))</f>
        <v>High Risk</v>
      </c>
      <c r="C332">
        <v>155</v>
      </c>
      <c r="D332">
        <v>52</v>
      </c>
      <c r="E332">
        <v>27</v>
      </c>
      <c r="F332">
        <v>540</v>
      </c>
      <c r="G332" t="str">
        <f>IF(Table1[[#This Row],[BMI]]&lt;18.5,"Underweight",IF(Table1[[#This Row],[BMI]]&lt;25,"Normal",IF(Table1[[#This Row],[BMI]]&lt;30,"Overweight","Obese")))</f>
        <v>Obese</v>
      </c>
      <c r="H332">
        <v>38.700000000000003</v>
      </c>
      <c r="I332">
        <v>0.24</v>
      </c>
      <c r="J332" t="str">
        <f>IF(Table1[[#This Row],[Age]]&lt;30,"Young (&lt;30)",IF(Table1[[#This Row],[Age]]&lt;=50,"Middle Age (30-50)","Older (&gt;50)"))</f>
        <v>Young (&lt;30)</v>
      </c>
      <c r="K332">
        <v>25</v>
      </c>
      <c r="L332">
        <v>1</v>
      </c>
    </row>
    <row r="333" spans="1:12" x14ac:dyDescent="0.3">
      <c r="A333">
        <v>2</v>
      </c>
      <c r="B333" t="str">
        <f>IF(Table1[[#This Row],[Glucose]]&lt;100,"Normal",IF(Table1[[#This Row],[Glucose]]&lt;126,"Prediabetes","High Risk"))</f>
        <v>Prediabetes</v>
      </c>
      <c r="C333">
        <v>101</v>
      </c>
      <c r="D333">
        <v>58</v>
      </c>
      <c r="E333">
        <v>35</v>
      </c>
      <c r="F333">
        <v>90</v>
      </c>
      <c r="G333" t="str">
        <f>IF(Table1[[#This Row],[BMI]]&lt;18.5,"Underweight",IF(Table1[[#This Row],[BMI]]&lt;25,"Normal",IF(Table1[[#This Row],[BMI]]&lt;30,"Overweight","Obese")))</f>
        <v>Normal</v>
      </c>
      <c r="H333">
        <v>21.8</v>
      </c>
      <c r="I333">
        <v>0.155</v>
      </c>
      <c r="J333" t="str">
        <f>IF(Table1[[#This Row],[Age]]&lt;30,"Young (&lt;30)",IF(Table1[[#This Row],[Age]]&lt;=50,"Middle Age (30-50)","Older (&gt;50)"))</f>
        <v>Young (&lt;30)</v>
      </c>
      <c r="K333">
        <v>22</v>
      </c>
      <c r="L333">
        <v>0</v>
      </c>
    </row>
    <row r="334" spans="1:12" x14ac:dyDescent="0.3">
      <c r="A334">
        <v>2</v>
      </c>
      <c r="B334" t="str">
        <f>IF(Table1[[#This Row],[Glucose]]&lt;100,"Normal",IF(Table1[[#This Row],[Glucose]]&lt;126,"Prediabetes","High Risk"))</f>
        <v>Prediabetes</v>
      </c>
      <c r="C334">
        <v>101</v>
      </c>
      <c r="D334">
        <v>58</v>
      </c>
      <c r="E334">
        <v>17</v>
      </c>
      <c r="F334">
        <v>265</v>
      </c>
      <c r="G334" t="str">
        <f>IF(Table1[[#This Row],[BMI]]&lt;18.5,"Underweight",IF(Table1[[#This Row],[BMI]]&lt;25,"Normal",IF(Table1[[#This Row],[BMI]]&lt;30,"Overweight","Obese")))</f>
        <v>Normal</v>
      </c>
      <c r="H334">
        <v>24.2</v>
      </c>
      <c r="I334">
        <v>0.61399999999999999</v>
      </c>
      <c r="J334" t="str">
        <f>IF(Table1[[#This Row],[Age]]&lt;30,"Young (&lt;30)",IF(Table1[[#This Row],[Age]]&lt;=50,"Middle Age (30-50)","Older (&gt;50)"))</f>
        <v>Young (&lt;30)</v>
      </c>
      <c r="K334">
        <v>23</v>
      </c>
      <c r="L334">
        <v>0</v>
      </c>
    </row>
    <row r="335" spans="1:12" x14ac:dyDescent="0.3">
      <c r="A335">
        <v>2</v>
      </c>
      <c r="B335" t="str">
        <f>IF(Table1[[#This Row],[Glucose]]&lt;100,"Normal",IF(Table1[[#This Row],[Glucose]]&lt;126,"Prediabetes","High Risk"))</f>
        <v>Normal</v>
      </c>
      <c r="C335">
        <v>56</v>
      </c>
      <c r="D335">
        <v>56</v>
      </c>
      <c r="E335">
        <v>28</v>
      </c>
      <c r="F335">
        <v>45</v>
      </c>
      <c r="G335" t="str">
        <f>IF(Table1[[#This Row],[BMI]]&lt;18.5,"Underweight",IF(Table1[[#This Row],[BMI]]&lt;25,"Normal",IF(Table1[[#This Row],[BMI]]&lt;30,"Overweight","Obese")))</f>
        <v>Normal</v>
      </c>
      <c r="H335">
        <v>24.2</v>
      </c>
      <c r="I335">
        <v>0.33200000000000002</v>
      </c>
      <c r="J335" t="str">
        <f>IF(Table1[[#This Row],[Age]]&lt;30,"Young (&lt;30)",IF(Table1[[#This Row],[Age]]&lt;=50,"Middle Age (30-50)","Older (&gt;50)"))</f>
        <v>Young (&lt;30)</v>
      </c>
      <c r="K335">
        <v>22</v>
      </c>
      <c r="L335">
        <v>0</v>
      </c>
    </row>
    <row r="336" spans="1:12" x14ac:dyDescent="0.3">
      <c r="A336">
        <v>2</v>
      </c>
      <c r="B336" t="str">
        <f>IF(Table1[[#This Row],[Glucose]]&lt;100,"Normal",IF(Table1[[#This Row],[Glucose]]&lt;126,"Prediabetes","High Risk"))</f>
        <v>High Risk</v>
      </c>
      <c r="C336">
        <v>129</v>
      </c>
      <c r="D336">
        <v>74</v>
      </c>
      <c r="E336">
        <v>26</v>
      </c>
      <c r="F336">
        <v>205</v>
      </c>
      <c r="G336" t="str">
        <f>IF(Table1[[#This Row],[BMI]]&lt;18.5,"Underweight",IF(Table1[[#This Row],[BMI]]&lt;25,"Normal",IF(Table1[[#This Row],[BMI]]&lt;30,"Overweight","Obese")))</f>
        <v>Obese</v>
      </c>
      <c r="H336">
        <v>33.200000000000003</v>
      </c>
      <c r="I336">
        <v>0.59099999999999997</v>
      </c>
      <c r="J336" t="str">
        <f>IF(Table1[[#This Row],[Age]]&lt;30,"Young (&lt;30)",IF(Table1[[#This Row],[Age]]&lt;=50,"Middle Age (30-50)","Older (&gt;50)"))</f>
        <v>Young (&lt;30)</v>
      </c>
      <c r="K336">
        <v>25</v>
      </c>
      <c r="L336">
        <v>0</v>
      </c>
    </row>
    <row r="337" spans="1:12" x14ac:dyDescent="0.3">
      <c r="A337">
        <v>2</v>
      </c>
      <c r="B337" t="str">
        <f>IF(Table1[[#This Row],[Glucose]]&lt;100,"Normal",IF(Table1[[#This Row],[Glucose]]&lt;126,"Prediabetes","High Risk"))</f>
        <v>Prediabetes</v>
      </c>
      <c r="C337">
        <v>121</v>
      </c>
      <c r="D337">
        <v>70</v>
      </c>
      <c r="E337">
        <v>32</v>
      </c>
      <c r="F337">
        <v>95</v>
      </c>
      <c r="G337" t="str">
        <f>IF(Table1[[#This Row],[BMI]]&lt;18.5,"Underweight",IF(Table1[[#This Row],[BMI]]&lt;25,"Normal",IF(Table1[[#This Row],[BMI]]&lt;30,"Overweight","Obese")))</f>
        <v>Obese</v>
      </c>
      <c r="H337">
        <v>39.1</v>
      </c>
      <c r="I337">
        <v>0.88600000000000001</v>
      </c>
      <c r="J337" t="str">
        <f>IF(Table1[[#This Row],[Age]]&lt;30,"Young (&lt;30)",IF(Table1[[#This Row],[Age]]&lt;=50,"Middle Age (30-50)","Older (&gt;50)"))</f>
        <v>Young (&lt;30)</v>
      </c>
      <c r="K337">
        <v>23</v>
      </c>
      <c r="L337">
        <v>0</v>
      </c>
    </row>
    <row r="338" spans="1:12" x14ac:dyDescent="0.3">
      <c r="A338">
        <v>2</v>
      </c>
      <c r="B338" t="str">
        <f>IF(Table1[[#This Row],[Glucose]]&lt;100,"Normal",IF(Table1[[#This Row],[Glucose]]&lt;126,"Prediabetes","High Risk"))</f>
        <v>Normal</v>
      </c>
      <c r="C338">
        <v>90</v>
      </c>
      <c r="D338">
        <v>60</v>
      </c>
      <c r="E338">
        <v>0</v>
      </c>
      <c r="F338">
        <v>0</v>
      </c>
      <c r="G338" t="str">
        <f>IF(Table1[[#This Row],[BMI]]&lt;18.5,"Underweight",IF(Table1[[#This Row],[BMI]]&lt;25,"Normal",IF(Table1[[#This Row],[BMI]]&lt;30,"Overweight","Obese")))</f>
        <v>Normal</v>
      </c>
      <c r="H338">
        <v>23.5</v>
      </c>
      <c r="I338">
        <v>0.191</v>
      </c>
      <c r="J338" t="str">
        <f>IF(Table1[[#This Row],[Age]]&lt;30,"Young (&lt;30)",IF(Table1[[#This Row],[Age]]&lt;=50,"Middle Age (30-50)","Older (&gt;50)"))</f>
        <v>Young (&lt;30)</v>
      </c>
      <c r="K338">
        <v>25</v>
      </c>
      <c r="L338">
        <v>0</v>
      </c>
    </row>
    <row r="339" spans="1:12" x14ac:dyDescent="0.3">
      <c r="A339">
        <v>2</v>
      </c>
      <c r="B339" t="str">
        <f>IF(Table1[[#This Row],[Glucose]]&lt;100,"Normal",IF(Table1[[#This Row],[Glucose]]&lt;126,"Prediabetes","High Risk"))</f>
        <v>Prediabetes</v>
      </c>
      <c r="C339">
        <v>122</v>
      </c>
      <c r="D339">
        <v>76</v>
      </c>
      <c r="E339">
        <v>27</v>
      </c>
      <c r="F339">
        <v>200</v>
      </c>
      <c r="G339" t="str">
        <f>IF(Table1[[#This Row],[BMI]]&lt;18.5,"Underweight",IF(Table1[[#This Row],[BMI]]&lt;25,"Normal",IF(Table1[[#This Row],[BMI]]&lt;30,"Overweight","Obese")))</f>
        <v>Obese</v>
      </c>
      <c r="H339">
        <v>35.9</v>
      </c>
      <c r="I339">
        <v>0.48299999999999998</v>
      </c>
      <c r="J339" t="str">
        <f>IF(Table1[[#This Row],[Age]]&lt;30,"Young (&lt;30)",IF(Table1[[#This Row],[Age]]&lt;=50,"Middle Age (30-50)","Older (&gt;50)"))</f>
        <v>Young (&lt;30)</v>
      </c>
      <c r="K339">
        <v>26</v>
      </c>
      <c r="L339">
        <v>0</v>
      </c>
    </row>
    <row r="340" spans="1:12" x14ac:dyDescent="0.3">
      <c r="A340">
        <v>2</v>
      </c>
      <c r="B340" t="str">
        <f>IF(Table1[[#This Row],[Glucose]]&lt;100,"Normal",IF(Table1[[#This Row],[Glucose]]&lt;126,"Prediabetes","High Risk"))</f>
        <v>High Risk</v>
      </c>
      <c r="C340">
        <v>129</v>
      </c>
      <c r="D340">
        <v>0</v>
      </c>
      <c r="E340">
        <v>0</v>
      </c>
      <c r="F340">
        <v>0</v>
      </c>
      <c r="G340" t="str">
        <f>IF(Table1[[#This Row],[BMI]]&lt;18.5,"Underweight",IF(Table1[[#This Row],[BMI]]&lt;25,"Normal",IF(Table1[[#This Row],[BMI]]&lt;30,"Overweight","Obese")))</f>
        <v>Obese</v>
      </c>
      <c r="H340">
        <v>38.5</v>
      </c>
      <c r="I340">
        <v>0.30399999999999999</v>
      </c>
      <c r="J340" t="str">
        <f>IF(Table1[[#This Row],[Age]]&lt;30,"Young (&lt;30)",IF(Table1[[#This Row],[Age]]&lt;=50,"Middle Age (30-50)","Older (&gt;50)"))</f>
        <v>Middle Age (30-50)</v>
      </c>
      <c r="K340">
        <v>41</v>
      </c>
      <c r="L340">
        <v>0</v>
      </c>
    </row>
    <row r="341" spans="1:12" x14ac:dyDescent="0.3">
      <c r="A341">
        <v>2</v>
      </c>
      <c r="B341" t="str">
        <f>IF(Table1[[#This Row],[Glucose]]&lt;100,"Normal",IF(Table1[[#This Row],[Glucose]]&lt;126,"Prediabetes","High Risk"))</f>
        <v>High Risk</v>
      </c>
      <c r="C341">
        <v>127</v>
      </c>
      <c r="D341">
        <v>46</v>
      </c>
      <c r="E341">
        <v>21</v>
      </c>
      <c r="F341">
        <v>335</v>
      </c>
      <c r="G341" t="str">
        <f>IF(Table1[[#This Row],[BMI]]&lt;18.5,"Underweight",IF(Table1[[#This Row],[BMI]]&lt;25,"Normal",IF(Table1[[#This Row],[BMI]]&lt;30,"Overweight","Obese")))</f>
        <v>Obese</v>
      </c>
      <c r="H341">
        <v>34.4</v>
      </c>
      <c r="I341">
        <v>0.17599999999999999</v>
      </c>
      <c r="J341" t="str">
        <f>IF(Table1[[#This Row],[Age]]&lt;30,"Young (&lt;30)",IF(Table1[[#This Row],[Age]]&lt;=50,"Middle Age (30-50)","Older (&gt;50)"))</f>
        <v>Young (&lt;30)</v>
      </c>
      <c r="K341">
        <v>22</v>
      </c>
      <c r="L341">
        <v>0</v>
      </c>
    </row>
    <row r="342" spans="1:12" x14ac:dyDescent="0.3">
      <c r="A342">
        <v>2</v>
      </c>
      <c r="B342" t="str">
        <f>IF(Table1[[#This Row],[Glucose]]&lt;100,"Normal",IF(Table1[[#This Row],[Glucose]]&lt;126,"Prediabetes","High Risk"))</f>
        <v>Normal</v>
      </c>
      <c r="C342">
        <v>93</v>
      </c>
      <c r="D342">
        <v>64</v>
      </c>
      <c r="E342">
        <v>32</v>
      </c>
      <c r="F342">
        <v>160</v>
      </c>
      <c r="G342" t="str">
        <f>IF(Table1[[#This Row],[BMI]]&lt;18.5,"Underweight",IF(Table1[[#This Row],[BMI]]&lt;25,"Normal",IF(Table1[[#This Row],[BMI]]&lt;30,"Overweight","Obese")))</f>
        <v>Obese</v>
      </c>
      <c r="H342">
        <v>38</v>
      </c>
      <c r="I342">
        <v>0.67400000000000004</v>
      </c>
      <c r="J342" t="str">
        <f>IF(Table1[[#This Row],[Age]]&lt;30,"Young (&lt;30)",IF(Table1[[#This Row],[Age]]&lt;=50,"Middle Age (30-50)","Older (&gt;50)"))</f>
        <v>Young (&lt;30)</v>
      </c>
      <c r="K342">
        <v>23</v>
      </c>
      <c r="L342">
        <v>1</v>
      </c>
    </row>
    <row r="343" spans="1:12" x14ac:dyDescent="0.3">
      <c r="A343">
        <v>2</v>
      </c>
      <c r="B343" t="str">
        <f>IF(Table1[[#This Row],[Glucose]]&lt;100,"Normal",IF(Table1[[#This Row],[Glucose]]&lt;126,"Prediabetes","High Risk"))</f>
        <v>High Risk</v>
      </c>
      <c r="C343">
        <v>175</v>
      </c>
      <c r="D343">
        <v>88</v>
      </c>
      <c r="E343">
        <v>0</v>
      </c>
      <c r="F343">
        <v>0</v>
      </c>
      <c r="G343" t="str">
        <f>IF(Table1[[#This Row],[BMI]]&lt;18.5,"Underweight",IF(Table1[[#This Row],[BMI]]&lt;25,"Normal",IF(Table1[[#This Row],[BMI]]&lt;30,"Overweight","Obese")))</f>
        <v>Normal</v>
      </c>
      <c r="H343">
        <v>22.9</v>
      </c>
      <c r="I343">
        <v>0.32600000000000001</v>
      </c>
      <c r="J343" t="str">
        <f>IF(Table1[[#This Row],[Age]]&lt;30,"Young (&lt;30)",IF(Table1[[#This Row],[Age]]&lt;=50,"Middle Age (30-50)","Older (&gt;50)"))</f>
        <v>Young (&lt;30)</v>
      </c>
      <c r="K343">
        <v>22</v>
      </c>
      <c r="L343">
        <v>0</v>
      </c>
    </row>
    <row r="344" spans="1:12" x14ac:dyDescent="0.3">
      <c r="A344">
        <v>2</v>
      </c>
      <c r="B344" t="str">
        <f>IF(Table1[[#This Row],[Glucose]]&lt;100,"Normal",IF(Table1[[#This Row],[Glucose]]&lt;126,"Prediabetes","High Risk"))</f>
        <v>Normal</v>
      </c>
      <c r="C344">
        <v>92</v>
      </c>
      <c r="D344">
        <v>52</v>
      </c>
      <c r="E344">
        <v>0</v>
      </c>
      <c r="F344">
        <v>0</v>
      </c>
      <c r="G344" t="str">
        <f>IF(Table1[[#This Row],[BMI]]&lt;18.5,"Underweight",IF(Table1[[#This Row],[BMI]]&lt;25,"Normal",IF(Table1[[#This Row],[BMI]]&lt;30,"Overweight","Obese")))</f>
        <v>Obese</v>
      </c>
      <c r="H344">
        <v>30.1</v>
      </c>
      <c r="I344">
        <v>0.14099999999999999</v>
      </c>
      <c r="J344" t="str">
        <f>IF(Table1[[#This Row],[Age]]&lt;30,"Young (&lt;30)",IF(Table1[[#This Row],[Age]]&lt;=50,"Middle Age (30-50)","Older (&gt;50)"))</f>
        <v>Young (&lt;30)</v>
      </c>
      <c r="K344">
        <v>22</v>
      </c>
      <c r="L344">
        <v>0</v>
      </c>
    </row>
    <row r="345" spans="1:12" x14ac:dyDescent="0.3">
      <c r="A345">
        <v>2</v>
      </c>
      <c r="B345" t="str">
        <f>IF(Table1[[#This Row],[Glucose]]&lt;100,"Normal",IF(Table1[[#This Row],[Glucose]]&lt;126,"Prediabetes","High Risk"))</f>
        <v>High Risk</v>
      </c>
      <c r="C345">
        <v>174</v>
      </c>
      <c r="D345">
        <v>88</v>
      </c>
      <c r="E345">
        <v>37</v>
      </c>
      <c r="F345">
        <v>120</v>
      </c>
      <c r="G345" t="str">
        <f>IF(Table1[[#This Row],[BMI]]&lt;18.5,"Underweight",IF(Table1[[#This Row],[BMI]]&lt;25,"Normal",IF(Table1[[#This Row],[BMI]]&lt;30,"Overweight","Obese")))</f>
        <v>Obese</v>
      </c>
      <c r="H345">
        <v>44.5</v>
      </c>
      <c r="I345">
        <v>0.64600000000000002</v>
      </c>
      <c r="J345" t="str">
        <f>IF(Table1[[#This Row],[Age]]&lt;30,"Young (&lt;30)",IF(Table1[[#This Row],[Age]]&lt;=50,"Middle Age (30-50)","Older (&gt;50)"))</f>
        <v>Young (&lt;30)</v>
      </c>
      <c r="K345">
        <v>24</v>
      </c>
      <c r="L345">
        <v>1</v>
      </c>
    </row>
    <row r="346" spans="1:12" x14ac:dyDescent="0.3">
      <c r="A346">
        <v>2</v>
      </c>
      <c r="B346" t="str">
        <f>IF(Table1[[#This Row],[Glucose]]&lt;100,"Normal",IF(Table1[[#This Row],[Glucose]]&lt;126,"Prediabetes","High Risk"))</f>
        <v>Prediabetes</v>
      </c>
      <c r="C346">
        <v>106</v>
      </c>
      <c r="D346">
        <v>56</v>
      </c>
      <c r="E346">
        <v>27</v>
      </c>
      <c r="F346">
        <v>165</v>
      </c>
      <c r="G346" t="str">
        <f>IF(Table1[[#This Row],[BMI]]&lt;18.5,"Underweight",IF(Table1[[#This Row],[BMI]]&lt;25,"Normal",IF(Table1[[#This Row],[BMI]]&lt;30,"Overweight","Obese")))</f>
        <v>Overweight</v>
      </c>
      <c r="H346">
        <v>29</v>
      </c>
      <c r="I346">
        <v>0.42599999999999999</v>
      </c>
      <c r="J346" t="str">
        <f>IF(Table1[[#This Row],[Age]]&lt;30,"Young (&lt;30)",IF(Table1[[#This Row],[Age]]&lt;=50,"Middle Age (30-50)","Older (&gt;50)"))</f>
        <v>Young (&lt;30)</v>
      </c>
      <c r="K346">
        <v>22</v>
      </c>
      <c r="L346">
        <v>0</v>
      </c>
    </row>
    <row r="347" spans="1:12" x14ac:dyDescent="0.3">
      <c r="A347">
        <v>2</v>
      </c>
      <c r="B347" t="str">
        <f>IF(Table1[[#This Row],[Glucose]]&lt;100,"Normal",IF(Table1[[#This Row],[Glucose]]&lt;126,"Prediabetes","High Risk"))</f>
        <v>Prediabetes</v>
      </c>
      <c r="C347">
        <v>105</v>
      </c>
      <c r="D347">
        <v>75</v>
      </c>
      <c r="E347">
        <v>0</v>
      </c>
      <c r="F347">
        <v>0</v>
      </c>
      <c r="G347" t="str">
        <f>IF(Table1[[#This Row],[BMI]]&lt;18.5,"Underweight",IF(Table1[[#This Row],[BMI]]&lt;25,"Normal",IF(Table1[[#This Row],[BMI]]&lt;30,"Overweight","Obese")))</f>
        <v>Normal</v>
      </c>
      <c r="H347">
        <v>23.3</v>
      </c>
      <c r="I347">
        <v>0.56000000000000005</v>
      </c>
      <c r="J347" t="str">
        <f>IF(Table1[[#This Row],[Age]]&lt;30,"Young (&lt;30)",IF(Table1[[#This Row],[Age]]&lt;=50,"Middle Age (30-50)","Older (&gt;50)"))</f>
        <v>Older (&gt;50)</v>
      </c>
      <c r="K347">
        <v>53</v>
      </c>
      <c r="L347">
        <v>0</v>
      </c>
    </row>
    <row r="348" spans="1:12" x14ac:dyDescent="0.3">
      <c r="A348">
        <v>2</v>
      </c>
      <c r="B348" t="str">
        <f>IF(Table1[[#This Row],[Glucose]]&lt;100,"Normal",IF(Table1[[#This Row],[Glucose]]&lt;126,"Prediabetes","High Risk"))</f>
        <v>Normal</v>
      </c>
      <c r="C348">
        <v>99</v>
      </c>
      <c r="D348">
        <v>60</v>
      </c>
      <c r="E348">
        <v>17</v>
      </c>
      <c r="F348">
        <v>160</v>
      </c>
      <c r="G348" t="str">
        <f>IF(Table1[[#This Row],[BMI]]&lt;18.5,"Underweight",IF(Table1[[#This Row],[BMI]]&lt;25,"Normal",IF(Table1[[#This Row],[BMI]]&lt;30,"Overweight","Obese")))</f>
        <v>Obese</v>
      </c>
      <c r="H348">
        <v>36.6</v>
      </c>
      <c r="I348">
        <v>0.45300000000000001</v>
      </c>
      <c r="J348" t="str">
        <f>IF(Table1[[#This Row],[Age]]&lt;30,"Young (&lt;30)",IF(Table1[[#This Row],[Age]]&lt;=50,"Middle Age (30-50)","Older (&gt;50)"))</f>
        <v>Young (&lt;30)</v>
      </c>
      <c r="K348">
        <v>21</v>
      </c>
      <c r="L348">
        <v>0</v>
      </c>
    </row>
    <row r="349" spans="1:12" x14ac:dyDescent="0.3">
      <c r="A349">
        <v>2</v>
      </c>
      <c r="B349" t="str">
        <f>IF(Table1[[#This Row],[Glucose]]&lt;100,"Normal",IF(Table1[[#This Row],[Glucose]]&lt;126,"Prediabetes","High Risk"))</f>
        <v>Normal</v>
      </c>
      <c r="C349">
        <v>88</v>
      </c>
      <c r="D349">
        <v>58</v>
      </c>
      <c r="E349">
        <v>26</v>
      </c>
      <c r="F349">
        <v>16</v>
      </c>
      <c r="G349" t="str">
        <f>IF(Table1[[#This Row],[BMI]]&lt;18.5,"Underweight",IF(Table1[[#This Row],[BMI]]&lt;25,"Normal",IF(Table1[[#This Row],[BMI]]&lt;30,"Overweight","Obese")))</f>
        <v>Overweight</v>
      </c>
      <c r="H349">
        <v>28.4</v>
      </c>
      <c r="I349">
        <v>0.76600000000000001</v>
      </c>
      <c r="J349" t="str">
        <f>IF(Table1[[#This Row],[Age]]&lt;30,"Young (&lt;30)",IF(Table1[[#This Row],[Age]]&lt;=50,"Middle Age (30-50)","Older (&gt;50)"))</f>
        <v>Young (&lt;30)</v>
      </c>
      <c r="K349">
        <v>22</v>
      </c>
      <c r="L349">
        <v>0</v>
      </c>
    </row>
    <row r="350" spans="1:12" x14ac:dyDescent="0.3">
      <c r="A350">
        <v>2</v>
      </c>
      <c r="B350" t="str">
        <f>IF(Table1[[#This Row],[Glucose]]&lt;100,"Normal",IF(Table1[[#This Row],[Glucose]]&lt;126,"Prediabetes","High Risk"))</f>
        <v>Prediabetes</v>
      </c>
      <c r="C350">
        <v>122</v>
      </c>
      <c r="D350">
        <v>70</v>
      </c>
      <c r="E350">
        <v>27</v>
      </c>
      <c r="F350">
        <v>0</v>
      </c>
      <c r="G350" t="str">
        <f>IF(Table1[[#This Row],[BMI]]&lt;18.5,"Underweight",IF(Table1[[#This Row],[BMI]]&lt;25,"Normal",IF(Table1[[#This Row],[BMI]]&lt;30,"Overweight","Obese")))</f>
        <v>Obese</v>
      </c>
      <c r="H350">
        <v>36.799999999999997</v>
      </c>
      <c r="I350">
        <v>0.34</v>
      </c>
      <c r="J350" t="str">
        <f>IF(Table1[[#This Row],[Age]]&lt;30,"Young (&lt;30)",IF(Table1[[#This Row],[Age]]&lt;=50,"Middle Age (30-50)","Older (&gt;50)"))</f>
        <v>Young (&lt;30)</v>
      </c>
      <c r="K350">
        <v>27</v>
      </c>
      <c r="L350">
        <v>0</v>
      </c>
    </row>
    <row r="351" spans="1:12" x14ac:dyDescent="0.3">
      <c r="A351">
        <v>3</v>
      </c>
      <c r="B351" t="str">
        <f>IF(Table1[[#This Row],[Glucose]]&lt;100,"Normal",IF(Table1[[#This Row],[Glucose]]&lt;126,"Prediabetes","High Risk"))</f>
        <v>Normal</v>
      </c>
      <c r="C351">
        <v>78</v>
      </c>
      <c r="D351">
        <v>50</v>
      </c>
      <c r="E351">
        <v>32</v>
      </c>
      <c r="F351">
        <v>88</v>
      </c>
      <c r="G351" t="str">
        <f>IF(Table1[[#This Row],[BMI]]&lt;18.5,"Underweight",IF(Table1[[#This Row],[BMI]]&lt;25,"Normal",IF(Table1[[#This Row],[BMI]]&lt;30,"Overweight","Obese")))</f>
        <v>Obese</v>
      </c>
      <c r="H351">
        <v>31</v>
      </c>
      <c r="I351">
        <v>0.248</v>
      </c>
      <c r="J351" t="str">
        <f>IF(Table1[[#This Row],[Age]]&lt;30,"Young (&lt;30)",IF(Table1[[#This Row],[Age]]&lt;=50,"Middle Age (30-50)","Older (&gt;50)"))</f>
        <v>Young (&lt;30)</v>
      </c>
      <c r="K351">
        <v>26</v>
      </c>
      <c r="L351">
        <v>1</v>
      </c>
    </row>
    <row r="352" spans="1:12" x14ac:dyDescent="0.3">
      <c r="A352">
        <v>3</v>
      </c>
      <c r="B352" t="str">
        <f>IF(Table1[[#This Row],[Glucose]]&lt;100,"Normal",IF(Table1[[#This Row],[Glucose]]&lt;126,"Prediabetes","High Risk"))</f>
        <v>High Risk</v>
      </c>
      <c r="C352">
        <v>126</v>
      </c>
      <c r="D352">
        <v>88</v>
      </c>
      <c r="E352">
        <v>41</v>
      </c>
      <c r="F352">
        <v>235</v>
      </c>
      <c r="G352" t="str">
        <f>IF(Table1[[#This Row],[BMI]]&lt;18.5,"Underweight",IF(Table1[[#This Row],[BMI]]&lt;25,"Normal",IF(Table1[[#This Row],[BMI]]&lt;30,"Overweight","Obese")))</f>
        <v>Obese</v>
      </c>
      <c r="H352">
        <v>39.299999999999997</v>
      </c>
      <c r="I352">
        <v>0.70399999999999996</v>
      </c>
      <c r="J352" t="str">
        <f>IF(Table1[[#This Row],[Age]]&lt;30,"Young (&lt;30)",IF(Table1[[#This Row],[Age]]&lt;=50,"Middle Age (30-50)","Older (&gt;50)"))</f>
        <v>Young (&lt;30)</v>
      </c>
      <c r="K352">
        <v>27</v>
      </c>
      <c r="L352">
        <v>0</v>
      </c>
    </row>
    <row r="353" spans="1:12" x14ac:dyDescent="0.3">
      <c r="A353">
        <v>3</v>
      </c>
      <c r="B353" t="str">
        <f>IF(Table1[[#This Row],[Glucose]]&lt;100,"Normal",IF(Table1[[#This Row],[Glucose]]&lt;126,"Prediabetes","High Risk"))</f>
        <v>High Risk</v>
      </c>
      <c r="C353">
        <v>158</v>
      </c>
      <c r="D353">
        <v>76</v>
      </c>
      <c r="E353">
        <v>36</v>
      </c>
      <c r="F353">
        <v>245</v>
      </c>
      <c r="G353" t="str">
        <f>IF(Table1[[#This Row],[BMI]]&lt;18.5,"Underweight",IF(Table1[[#This Row],[BMI]]&lt;25,"Normal",IF(Table1[[#This Row],[BMI]]&lt;30,"Overweight","Obese")))</f>
        <v>Obese</v>
      </c>
      <c r="H353">
        <v>31.6</v>
      </c>
      <c r="I353">
        <v>0.85099999999999998</v>
      </c>
      <c r="J353" t="str">
        <f>IF(Table1[[#This Row],[Age]]&lt;30,"Young (&lt;30)",IF(Table1[[#This Row],[Age]]&lt;=50,"Middle Age (30-50)","Older (&gt;50)"))</f>
        <v>Young (&lt;30)</v>
      </c>
      <c r="K353">
        <v>28</v>
      </c>
      <c r="L353">
        <v>1</v>
      </c>
    </row>
    <row r="354" spans="1:12" x14ac:dyDescent="0.3">
      <c r="A354">
        <v>3</v>
      </c>
      <c r="B354" t="str">
        <f>IF(Table1[[#This Row],[Glucose]]&lt;100,"Normal",IF(Table1[[#This Row],[Glucose]]&lt;126,"Prediabetes","High Risk"))</f>
        <v>Normal</v>
      </c>
      <c r="C354">
        <v>88</v>
      </c>
      <c r="D354">
        <v>58</v>
      </c>
      <c r="E354">
        <v>11</v>
      </c>
      <c r="F354">
        <v>54</v>
      </c>
      <c r="G354" t="str">
        <f>IF(Table1[[#This Row],[BMI]]&lt;18.5,"Underweight",IF(Table1[[#This Row],[BMI]]&lt;25,"Normal",IF(Table1[[#This Row],[BMI]]&lt;30,"Overweight","Obese")))</f>
        <v>Normal</v>
      </c>
      <c r="H354">
        <v>24.8</v>
      </c>
      <c r="I354">
        <v>0.26700000000000002</v>
      </c>
      <c r="J354" t="str">
        <f>IF(Table1[[#This Row],[Age]]&lt;30,"Young (&lt;30)",IF(Table1[[#This Row],[Age]]&lt;=50,"Middle Age (30-50)","Older (&gt;50)"))</f>
        <v>Young (&lt;30)</v>
      </c>
      <c r="K354">
        <v>22</v>
      </c>
      <c r="L354">
        <v>0</v>
      </c>
    </row>
    <row r="355" spans="1:12" x14ac:dyDescent="0.3">
      <c r="A355">
        <v>3</v>
      </c>
      <c r="B355" t="str">
        <f>IF(Table1[[#This Row],[Glucose]]&lt;100,"Normal",IF(Table1[[#This Row],[Glucose]]&lt;126,"Prediabetes","High Risk"))</f>
        <v>High Risk</v>
      </c>
      <c r="C355">
        <v>180</v>
      </c>
      <c r="D355">
        <v>64</v>
      </c>
      <c r="E355">
        <v>25</v>
      </c>
      <c r="F355">
        <v>70</v>
      </c>
      <c r="G355" t="str">
        <f>IF(Table1[[#This Row],[BMI]]&lt;18.5,"Underweight",IF(Table1[[#This Row],[BMI]]&lt;25,"Normal",IF(Table1[[#This Row],[BMI]]&lt;30,"Overweight","Obese")))</f>
        <v>Obese</v>
      </c>
      <c r="H355">
        <v>34</v>
      </c>
      <c r="I355">
        <v>0.27100000000000002</v>
      </c>
      <c r="J355" t="str">
        <f>IF(Table1[[#This Row],[Age]]&lt;30,"Young (&lt;30)",IF(Table1[[#This Row],[Age]]&lt;=50,"Middle Age (30-50)","Older (&gt;50)"))</f>
        <v>Young (&lt;30)</v>
      </c>
      <c r="K355">
        <v>26</v>
      </c>
      <c r="L355">
        <v>0</v>
      </c>
    </row>
    <row r="356" spans="1:12" x14ac:dyDescent="0.3">
      <c r="A356">
        <v>3</v>
      </c>
      <c r="B356" t="str">
        <f>IF(Table1[[#This Row],[Glucose]]&lt;100,"Normal",IF(Table1[[#This Row],[Glucose]]&lt;126,"Prediabetes","High Risk"))</f>
        <v>Prediabetes</v>
      </c>
      <c r="C356">
        <v>113</v>
      </c>
      <c r="D356">
        <v>44</v>
      </c>
      <c r="E356">
        <v>13</v>
      </c>
      <c r="F356">
        <v>0</v>
      </c>
      <c r="G356" t="str">
        <f>IF(Table1[[#This Row],[BMI]]&lt;18.5,"Underweight",IF(Table1[[#This Row],[BMI]]&lt;25,"Normal",IF(Table1[[#This Row],[BMI]]&lt;30,"Overweight","Obese")))</f>
        <v>Normal</v>
      </c>
      <c r="H356">
        <v>22.4</v>
      </c>
      <c r="I356">
        <v>0.14000000000000001</v>
      </c>
      <c r="J356" t="str">
        <f>IF(Table1[[#This Row],[Age]]&lt;30,"Young (&lt;30)",IF(Table1[[#This Row],[Age]]&lt;=50,"Middle Age (30-50)","Older (&gt;50)"))</f>
        <v>Young (&lt;30)</v>
      </c>
      <c r="K356">
        <v>22</v>
      </c>
      <c r="L356">
        <v>0</v>
      </c>
    </row>
    <row r="357" spans="1:12" x14ac:dyDescent="0.3">
      <c r="A357">
        <v>3</v>
      </c>
      <c r="B357" t="str">
        <f>IF(Table1[[#This Row],[Glucose]]&lt;100,"Normal",IF(Table1[[#This Row],[Glucose]]&lt;126,"Prediabetes","High Risk"))</f>
        <v>Normal</v>
      </c>
      <c r="C357">
        <v>83</v>
      </c>
      <c r="D357">
        <v>58</v>
      </c>
      <c r="E357">
        <v>31</v>
      </c>
      <c r="F357">
        <v>18</v>
      </c>
      <c r="G357" t="str">
        <f>IF(Table1[[#This Row],[BMI]]&lt;18.5,"Underweight",IF(Table1[[#This Row],[BMI]]&lt;25,"Normal",IF(Table1[[#This Row],[BMI]]&lt;30,"Overweight","Obese")))</f>
        <v>Obese</v>
      </c>
      <c r="H357">
        <v>34.299999999999997</v>
      </c>
      <c r="I357">
        <v>0.33600000000000002</v>
      </c>
      <c r="J357" t="str">
        <f>IF(Table1[[#This Row],[Age]]&lt;30,"Young (&lt;30)",IF(Table1[[#This Row],[Age]]&lt;=50,"Middle Age (30-50)","Older (&gt;50)"))</f>
        <v>Young (&lt;30)</v>
      </c>
      <c r="K357">
        <v>25</v>
      </c>
      <c r="L357">
        <v>0</v>
      </c>
    </row>
    <row r="358" spans="1:12" x14ac:dyDescent="0.3">
      <c r="A358">
        <v>3</v>
      </c>
      <c r="B358" t="str">
        <f>IF(Table1[[#This Row],[Glucose]]&lt;100,"Normal",IF(Table1[[#This Row],[Glucose]]&lt;126,"Prediabetes","High Risk"))</f>
        <v>High Risk</v>
      </c>
      <c r="C358">
        <v>171</v>
      </c>
      <c r="D358">
        <v>72</v>
      </c>
      <c r="E358">
        <v>33</v>
      </c>
      <c r="F358">
        <v>135</v>
      </c>
      <c r="G358" t="str">
        <f>IF(Table1[[#This Row],[BMI]]&lt;18.5,"Underweight",IF(Table1[[#This Row],[BMI]]&lt;25,"Normal",IF(Table1[[#This Row],[BMI]]&lt;30,"Overweight","Obese")))</f>
        <v>Obese</v>
      </c>
      <c r="H358">
        <v>33.299999999999997</v>
      </c>
      <c r="I358">
        <v>0.19900000000000001</v>
      </c>
      <c r="J358" t="str">
        <f>IF(Table1[[#This Row],[Age]]&lt;30,"Young (&lt;30)",IF(Table1[[#This Row],[Age]]&lt;=50,"Middle Age (30-50)","Older (&gt;50)"))</f>
        <v>Young (&lt;30)</v>
      </c>
      <c r="K358">
        <v>24</v>
      </c>
      <c r="L358">
        <v>1</v>
      </c>
    </row>
    <row r="359" spans="1:12" x14ac:dyDescent="0.3">
      <c r="A359">
        <v>3</v>
      </c>
      <c r="B359" t="str">
        <f>IF(Table1[[#This Row],[Glucose]]&lt;100,"Normal",IF(Table1[[#This Row],[Glucose]]&lt;126,"Prediabetes","High Risk"))</f>
        <v>Prediabetes</v>
      </c>
      <c r="C359">
        <v>120</v>
      </c>
      <c r="D359">
        <v>70</v>
      </c>
      <c r="E359">
        <v>30</v>
      </c>
      <c r="F359">
        <v>135</v>
      </c>
      <c r="G359" t="str">
        <f>IF(Table1[[#This Row],[BMI]]&lt;18.5,"Underweight",IF(Table1[[#This Row],[BMI]]&lt;25,"Normal",IF(Table1[[#This Row],[BMI]]&lt;30,"Overweight","Obese")))</f>
        <v>Obese</v>
      </c>
      <c r="H359">
        <v>42.9</v>
      </c>
      <c r="I359">
        <v>0.45200000000000001</v>
      </c>
      <c r="J359" t="str">
        <f>IF(Table1[[#This Row],[Age]]&lt;30,"Young (&lt;30)",IF(Table1[[#This Row],[Age]]&lt;=50,"Middle Age (30-50)","Older (&gt;50)"))</f>
        <v>Middle Age (30-50)</v>
      </c>
      <c r="K359">
        <v>30</v>
      </c>
      <c r="L359">
        <v>0</v>
      </c>
    </row>
    <row r="360" spans="1:12" x14ac:dyDescent="0.3">
      <c r="A360">
        <v>3</v>
      </c>
      <c r="B360" t="str">
        <f>IF(Table1[[#This Row],[Glucose]]&lt;100,"Normal",IF(Table1[[#This Row],[Glucose]]&lt;126,"Prediabetes","High Risk"))</f>
        <v>High Risk</v>
      </c>
      <c r="C360">
        <v>170</v>
      </c>
      <c r="D360">
        <v>64</v>
      </c>
      <c r="E360">
        <v>37</v>
      </c>
      <c r="F360">
        <v>225</v>
      </c>
      <c r="G360" t="str">
        <f>IF(Table1[[#This Row],[BMI]]&lt;18.5,"Underweight",IF(Table1[[#This Row],[BMI]]&lt;25,"Normal",IF(Table1[[#This Row],[BMI]]&lt;30,"Overweight","Obese")))</f>
        <v>Obese</v>
      </c>
      <c r="H360">
        <v>34.5</v>
      </c>
      <c r="I360">
        <v>0.35599999999999998</v>
      </c>
      <c r="J360" t="str">
        <f>IF(Table1[[#This Row],[Age]]&lt;30,"Young (&lt;30)",IF(Table1[[#This Row],[Age]]&lt;=50,"Middle Age (30-50)","Older (&gt;50)"))</f>
        <v>Middle Age (30-50)</v>
      </c>
      <c r="K360">
        <v>30</v>
      </c>
      <c r="L360">
        <v>1</v>
      </c>
    </row>
    <row r="361" spans="1:12" x14ac:dyDescent="0.3">
      <c r="A361">
        <v>3</v>
      </c>
      <c r="B361" t="str">
        <f>IF(Table1[[#This Row],[Glucose]]&lt;100,"Normal",IF(Table1[[#This Row],[Glucose]]&lt;126,"Prediabetes","High Risk"))</f>
        <v>High Risk</v>
      </c>
      <c r="C361">
        <v>128</v>
      </c>
      <c r="D361">
        <v>78</v>
      </c>
      <c r="E361">
        <v>0</v>
      </c>
      <c r="F361">
        <v>0</v>
      </c>
      <c r="G361" t="str">
        <f>IF(Table1[[#This Row],[BMI]]&lt;18.5,"Underweight",IF(Table1[[#This Row],[BMI]]&lt;25,"Normal",IF(Table1[[#This Row],[BMI]]&lt;30,"Overweight","Obese")))</f>
        <v>Normal</v>
      </c>
      <c r="H361">
        <v>21.1</v>
      </c>
      <c r="I361">
        <v>0.26800000000000002</v>
      </c>
      <c r="J361" t="str">
        <f>IF(Table1[[#This Row],[Age]]&lt;30,"Young (&lt;30)",IF(Table1[[#This Row],[Age]]&lt;=50,"Middle Age (30-50)","Older (&gt;50)"))</f>
        <v>Older (&gt;50)</v>
      </c>
      <c r="K361">
        <v>55</v>
      </c>
      <c r="L361">
        <v>0</v>
      </c>
    </row>
    <row r="362" spans="1:12" x14ac:dyDescent="0.3">
      <c r="A362">
        <v>3</v>
      </c>
      <c r="B362" t="str">
        <f>IF(Table1[[#This Row],[Glucose]]&lt;100,"Normal",IF(Table1[[#This Row],[Glucose]]&lt;126,"Prediabetes","High Risk"))</f>
        <v>High Risk</v>
      </c>
      <c r="C362">
        <v>148</v>
      </c>
      <c r="D362">
        <v>66</v>
      </c>
      <c r="E362">
        <v>25</v>
      </c>
      <c r="F362">
        <v>0</v>
      </c>
      <c r="G362" t="str">
        <f>IF(Table1[[#This Row],[BMI]]&lt;18.5,"Underweight",IF(Table1[[#This Row],[BMI]]&lt;25,"Normal",IF(Table1[[#This Row],[BMI]]&lt;30,"Overweight","Obese")))</f>
        <v>Obese</v>
      </c>
      <c r="H362">
        <v>32.5</v>
      </c>
      <c r="I362">
        <v>0.25600000000000001</v>
      </c>
      <c r="J362" t="str">
        <f>IF(Table1[[#This Row],[Age]]&lt;30,"Young (&lt;30)",IF(Table1[[#This Row],[Age]]&lt;=50,"Middle Age (30-50)","Older (&gt;50)"))</f>
        <v>Young (&lt;30)</v>
      </c>
      <c r="K362">
        <v>22</v>
      </c>
      <c r="L362">
        <v>0</v>
      </c>
    </row>
    <row r="363" spans="1:12" x14ac:dyDescent="0.3">
      <c r="A363">
        <v>3</v>
      </c>
      <c r="B363" t="str">
        <f>IF(Table1[[#This Row],[Glucose]]&lt;100,"Normal",IF(Table1[[#This Row],[Glucose]]&lt;126,"Prediabetes","High Risk"))</f>
        <v>Prediabetes</v>
      </c>
      <c r="C363">
        <v>111</v>
      </c>
      <c r="D363">
        <v>90</v>
      </c>
      <c r="E363">
        <v>12</v>
      </c>
      <c r="F363">
        <v>78</v>
      </c>
      <c r="G363" t="str">
        <f>IF(Table1[[#This Row],[BMI]]&lt;18.5,"Underweight",IF(Table1[[#This Row],[BMI]]&lt;25,"Normal",IF(Table1[[#This Row],[BMI]]&lt;30,"Overweight","Obese")))</f>
        <v>Overweight</v>
      </c>
      <c r="H363">
        <v>28.4</v>
      </c>
      <c r="I363">
        <v>0.495</v>
      </c>
      <c r="J363" t="str">
        <f>IF(Table1[[#This Row],[Age]]&lt;30,"Young (&lt;30)",IF(Table1[[#This Row],[Age]]&lt;=50,"Middle Age (30-50)","Older (&gt;50)"))</f>
        <v>Young (&lt;30)</v>
      </c>
      <c r="K363">
        <v>29</v>
      </c>
      <c r="L363">
        <v>0</v>
      </c>
    </row>
    <row r="364" spans="1:12" x14ac:dyDescent="0.3">
      <c r="A364">
        <v>3</v>
      </c>
      <c r="B364" t="str">
        <f>IF(Table1[[#This Row],[Glucose]]&lt;100,"Normal",IF(Table1[[#This Row],[Glucose]]&lt;126,"Prediabetes","High Risk"))</f>
        <v>Prediabetes</v>
      </c>
      <c r="C364">
        <v>111</v>
      </c>
      <c r="D364">
        <v>62</v>
      </c>
      <c r="E364">
        <v>0</v>
      </c>
      <c r="F364">
        <v>0</v>
      </c>
      <c r="G364" t="str">
        <f>IF(Table1[[#This Row],[BMI]]&lt;18.5,"Underweight",IF(Table1[[#This Row],[BMI]]&lt;25,"Normal",IF(Table1[[#This Row],[BMI]]&lt;30,"Overweight","Obese")))</f>
        <v>Normal</v>
      </c>
      <c r="H364">
        <v>22.6</v>
      </c>
      <c r="I364">
        <v>0.14199999999999999</v>
      </c>
      <c r="J364" t="str">
        <f>IF(Table1[[#This Row],[Age]]&lt;30,"Young (&lt;30)",IF(Table1[[#This Row],[Age]]&lt;=50,"Middle Age (30-50)","Older (&gt;50)"))</f>
        <v>Young (&lt;30)</v>
      </c>
      <c r="K364">
        <v>21</v>
      </c>
      <c r="L364">
        <v>0</v>
      </c>
    </row>
    <row r="365" spans="1:12" x14ac:dyDescent="0.3">
      <c r="A365">
        <v>3</v>
      </c>
      <c r="B365" t="str">
        <f>IF(Table1[[#This Row],[Glucose]]&lt;100,"Normal",IF(Table1[[#This Row],[Glucose]]&lt;126,"Prediabetes","High Risk"))</f>
        <v>Prediabetes</v>
      </c>
      <c r="C365">
        <v>107</v>
      </c>
      <c r="D365">
        <v>62</v>
      </c>
      <c r="E365">
        <v>13</v>
      </c>
      <c r="F365">
        <v>48</v>
      </c>
      <c r="G365" t="str">
        <f>IF(Table1[[#This Row],[BMI]]&lt;18.5,"Underweight",IF(Table1[[#This Row],[BMI]]&lt;25,"Normal",IF(Table1[[#This Row],[BMI]]&lt;30,"Overweight","Obese")))</f>
        <v>Normal</v>
      </c>
      <c r="H365">
        <v>22.9</v>
      </c>
      <c r="I365">
        <v>0.67800000000000005</v>
      </c>
      <c r="J365" t="str">
        <f>IF(Table1[[#This Row],[Age]]&lt;30,"Young (&lt;30)",IF(Table1[[#This Row],[Age]]&lt;=50,"Middle Age (30-50)","Older (&gt;50)"))</f>
        <v>Young (&lt;30)</v>
      </c>
      <c r="K365">
        <v>23</v>
      </c>
      <c r="L365">
        <v>1</v>
      </c>
    </row>
    <row r="366" spans="1:12" x14ac:dyDescent="0.3">
      <c r="A366">
        <v>3</v>
      </c>
      <c r="B366" t="str">
        <f>IF(Table1[[#This Row],[Glucose]]&lt;100,"Normal",IF(Table1[[#This Row],[Glucose]]&lt;126,"Prediabetes","High Risk"))</f>
        <v>High Risk</v>
      </c>
      <c r="C366">
        <v>162</v>
      </c>
      <c r="D366">
        <v>52</v>
      </c>
      <c r="E366">
        <v>38</v>
      </c>
      <c r="F366">
        <v>0</v>
      </c>
      <c r="G366" t="str">
        <f>IF(Table1[[#This Row],[BMI]]&lt;18.5,"Underweight",IF(Table1[[#This Row],[BMI]]&lt;25,"Normal",IF(Table1[[#This Row],[BMI]]&lt;30,"Overweight","Obese")))</f>
        <v>Obese</v>
      </c>
      <c r="H366">
        <v>37.200000000000003</v>
      </c>
      <c r="I366">
        <v>0.65200000000000002</v>
      </c>
      <c r="J366" t="str">
        <f>IF(Table1[[#This Row],[Age]]&lt;30,"Young (&lt;30)",IF(Table1[[#This Row],[Age]]&lt;=50,"Middle Age (30-50)","Older (&gt;50)"))</f>
        <v>Young (&lt;30)</v>
      </c>
      <c r="K366">
        <v>24</v>
      </c>
      <c r="L366">
        <v>1</v>
      </c>
    </row>
    <row r="367" spans="1:12" x14ac:dyDescent="0.3">
      <c r="A367">
        <v>3</v>
      </c>
      <c r="B367" t="str">
        <f>IF(Table1[[#This Row],[Glucose]]&lt;100,"Normal",IF(Table1[[#This Row],[Glucose]]&lt;126,"Prediabetes","High Risk"))</f>
        <v>Normal</v>
      </c>
      <c r="C367">
        <v>74</v>
      </c>
      <c r="D367">
        <v>68</v>
      </c>
      <c r="E367">
        <v>28</v>
      </c>
      <c r="F367">
        <v>45</v>
      </c>
      <c r="G367" t="str">
        <f>IF(Table1[[#This Row],[BMI]]&lt;18.5,"Underweight",IF(Table1[[#This Row],[BMI]]&lt;25,"Normal",IF(Table1[[#This Row],[BMI]]&lt;30,"Overweight","Obese")))</f>
        <v>Overweight</v>
      </c>
      <c r="H367">
        <v>29.7</v>
      </c>
      <c r="I367">
        <v>0.29299999999999998</v>
      </c>
      <c r="J367" t="str">
        <f>IF(Table1[[#This Row],[Age]]&lt;30,"Young (&lt;30)",IF(Table1[[#This Row],[Age]]&lt;=50,"Middle Age (30-50)","Older (&gt;50)"))</f>
        <v>Young (&lt;30)</v>
      </c>
      <c r="K367">
        <v>23</v>
      </c>
      <c r="L367">
        <v>0</v>
      </c>
    </row>
    <row r="368" spans="1:12" x14ac:dyDescent="0.3">
      <c r="A368">
        <v>3</v>
      </c>
      <c r="B368" t="str">
        <f>IF(Table1[[#This Row],[Glucose]]&lt;100,"Normal",IF(Table1[[#This Row],[Glucose]]&lt;126,"Prediabetes","High Risk"))</f>
        <v>High Risk</v>
      </c>
      <c r="C368">
        <v>139</v>
      </c>
      <c r="D368">
        <v>54</v>
      </c>
      <c r="E368">
        <v>0</v>
      </c>
      <c r="F368">
        <v>0</v>
      </c>
      <c r="G368" t="str">
        <f>IF(Table1[[#This Row],[BMI]]&lt;18.5,"Underweight",IF(Table1[[#This Row],[BMI]]&lt;25,"Normal",IF(Table1[[#This Row],[BMI]]&lt;30,"Overweight","Obese")))</f>
        <v>Overweight</v>
      </c>
      <c r="H368">
        <v>25.6</v>
      </c>
      <c r="I368">
        <v>0.40200000000000002</v>
      </c>
      <c r="J368" t="str">
        <f>IF(Table1[[#This Row],[Age]]&lt;30,"Young (&lt;30)",IF(Table1[[#This Row],[Age]]&lt;=50,"Middle Age (30-50)","Older (&gt;50)"))</f>
        <v>Young (&lt;30)</v>
      </c>
      <c r="K368">
        <v>22</v>
      </c>
      <c r="L368">
        <v>1</v>
      </c>
    </row>
    <row r="369" spans="1:12" x14ac:dyDescent="0.3">
      <c r="A369">
        <v>3</v>
      </c>
      <c r="B369" t="str">
        <f>IF(Table1[[#This Row],[Glucose]]&lt;100,"Normal",IF(Table1[[#This Row],[Glucose]]&lt;126,"Prediabetes","High Risk"))</f>
        <v>Prediabetes</v>
      </c>
      <c r="C369">
        <v>111</v>
      </c>
      <c r="D369">
        <v>56</v>
      </c>
      <c r="E369">
        <v>39</v>
      </c>
      <c r="F369">
        <v>0</v>
      </c>
      <c r="G369" t="str">
        <f>IF(Table1[[#This Row],[BMI]]&lt;18.5,"Underweight",IF(Table1[[#This Row],[BMI]]&lt;25,"Normal",IF(Table1[[#This Row],[BMI]]&lt;30,"Overweight","Obese")))</f>
        <v>Obese</v>
      </c>
      <c r="H369">
        <v>30.1</v>
      </c>
      <c r="I369">
        <v>0.55700000000000005</v>
      </c>
      <c r="J369" t="str">
        <f>IF(Table1[[#This Row],[Age]]&lt;30,"Young (&lt;30)",IF(Table1[[#This Row],[Age]]&lt;=50,"Middle Age (30-50)","Older (&gt;50)"))</f>
        <v>Middle Age (30-50)</v>
      </c>
      <c r="K369">
        <v>30</v>
      </c>
      <c r="L369">
        <v>0</v>
      </c>
    </row>
    <row r="370" spans="1:12" x14ac:dyDescent="0.3">
      <c r="A370">
        <v>3</v>
      </c>
      <c r="B370" t="str">
        <f>IF(Table1[[#This Row],[Glucose]]&lt;100,"Normal",IF(Table1[[#This Row],[Glucose]]&lt;126,"Prediabetes","High Risk"))</f>
        <v>High Risk</v>
      </c>
      <c r="C370">
        <v>191</v>
      </c>
      <c r="D370">
        <v>68</v>
      </c>
      <c r="E370">
        <v>15</v>
      </c>
      <c r="F370">
        <v>130</v>
      </c>
      <c r="G370" t="str">
        <f>IF(Table1[[#This Row],[BMI]]&lt;18.5,"Underweight",IF(Table1[[#This Row],[BMI]]&lt;25,"Normal",IF(Table1[[#This Row],[BMI]]&lt;30,"Overweight","Obese")))</f>
        <v>Obese</v>
      </c>
      <c r="H370">
        <v>30.9</v>
      </c>
      <c r="I370">
        <v>0.29899999999999999</v>
      </c>
      <c r="J370" t="str">
        <f>IF(Table1[[#This Row],[Age]]&lt;30,"Young (&lt;30)",IF(Table1[[#This Row],[Age]]&lt;=50,"Middle Age (30-50)","Older (&gt;50)"))</f>
        <v>Middle Age (30-50)</v>
      </c>
      <c r="K370">
        <v>34</v>
      </c>
      <c r="L370">
        <v>0</v>
      </c>
    </row>
    <row r="371" spans="1:12" x14ac:dyDescent="0.3">
      <c r="A371">
        <v>3</v>
      </c>
      <c r="B371" t="str">
        <f>IF(Table1[[#This Row],[Glucose]]&lt;100,"Normal",IF(Table1[[#This Row],[Glucose]]&lt;126,"Prediabetes","High Risk"))</f>
        <v>High Risk</v>
      </c>
      <c r="C371">
        <v>141</v>
      </c>
      <c r="D371">
        <v>0</v>
      </c>
      <c r="E371">
        <v>0</v>
      </c>
      <c r="F371">
        <v>0</v>
      </c>
      <c r="G371" t="str">
        <f>IF(Table1[[#This Row],[BMI]]&lt;18.5,"Underweight",IF(Table1[[#This Row],[BMI]]&lt;25,"Normal",IF(Table1[[#This Row],[BMI]]&lt;30,"Overweight","Obese")))</f>
        <v>Obese</v>
      </c>
      <c r="H371">
        <v>30</v>
      </c>
      <c r="I371">
        <v>0.76100000000000001</v>
      </c>
      <c r="J371" t="str">
        <f>IF(Table1[[#This Row],[Age]]&lt;30,"Young (&lt;30)",IF(Table1[[#This Row],[Age]]&lt;=50,"Middle Age (30-50)","Older (&gt;50)"))</f>
        <v>Young (&lt;30)</v>
      </c>
      <c r="K371">
        <v>27</v>
      </c>
      <c r="L371">
        <v>1</v>
      </c>
    </row>
    <row r="372" spans="1:12" x14ac:dyDescent="0.3">
      <c r="A372">
        <v>3</v>
      </c>
      <c r="B372" t="str">
        <f>IF(Table1[[#This Row],[Glucose]]&lt;100,"Normal",IF(Table1[[#This Row],[Glucose]]&lt;126,"Prediabetes","High Risk"))</f>
        <v>High Risk</v>
      </c>
      <c r="C372">
        <v>142</v>
      </c>
      <c r="D372">
        <v>80</v>
      </c>
      <c r="E372">
        <v>15</v>
      </c>
      <c r="F372">
        <v>0</v>
      </c>
      <c r="G372" t="str">
        <f>IF(Table1[[#This Row],[BMI]]&lt;18.5,"Underweight",IF(Table1[[#This Row],[BMI]]&lt;25,"Normal",IF(Table1[[#This Row],[BMI]]&lt;30,"Overweight","Obese")))</f>
        <v>Obese</v>
      </c>
      <c r="H372">
        <v>32.4</v>
      </c>
      <c r="I372">
        <v>0.2</v>
      </c>
      <c r="J372" t="str">
        <f>IF(Table1[[#This Row],[Age]]&lt;30,"Young (&lt;30)",IF(Table1[[#This Row],[Age]]&lt;=50,"Middle Age (30-50)","Older (&gt;50)"))</f>
        <v>Older (&gt;50)</v>
      </c>
      <c r="K372">
        <v>63</v>
      </c>
      <c r="L372">
        <v>0</v>
      </c>
    </row>
    <row r="373" spans="1:12" x14ac:dyDescent="0.3">
      <c r="A373">
        <v>3</v>
      </c>
      <c r="B373" t="str">
        <f>IF(Table1[[#This Row],[Glucose]]&lt;100,"Normal",IF(Table1[[#This Row],[Glucose]]&lt;126,"Prediabetes","High Risk"))</f>
        <v>Prediabetes</v>
      </c>
      <c r="C373">
        <v>122</v>
      </c>
      <c r="D373">
        <v>78</v>
      </c>
      <c r="E373">
        <v>0</v>
      </c>
      <c r="F373">
        <v>0</v>
      </c>
      <c r="G373" t="str">
        <f>IF(Table1[[#This Row],[BMI]]&lt;18.5,"Underweight",IF(Table1[[#This Row],[BMI]]&lt;25,"Normal",IF(Table1[[#This Row],[BMI]]&lt;30,"Overweight","Obese")))</f>
        <v>Normal</v>
      </c>
      <c r="H373">
        <v>23</v>
      </c>
      <c r="I373">
        <v>0.254</v>
      </c>
      <c r="J373" t="str">
        <f>IF(Table1[[#This Row],[Age]]&lt;30,"Young (&lt;30)",IF(Table1[[#This Row],[Age]]&lt;=50,"Middle Age (30-50)","Older (&gt;50)"))</f>
        <v>Middle Age (30-50)</v>
      </c>
      <c r="K373">
        <v>40</v>
      </c>
      <c r="L373">
        <v>0</v>
      </c>
    </row>
    <row r="374" spans="1:12" x14ac:dyDescent="0.3">
      <c r="A374">
        <v>3</v>
      </c>
      <c r="B374" t="str">
        <f>IF(Table1[[#This Row],[Glucose]]&lt;100,"Normal",IF(Table1[[#This Row],[Glucose]]&lt;126,"Prediabetes","High Risk"))</f>
        <v>High Risk</v>
      </c>
      <c r="C374">
        <v>150</v>
      </c>
      <c r="D374">
        <v>76</v>
      </c>
      <c r="E374">
        <v>0</v>
      </c>
      <c r="F374">
        <v>0</v>
      </c>
      <c r="G374" t="str">
        <f>IF(Table1[[#This Row],[BMI]]&lt;18.5,"Underweight",IF(Table1[[#This Row],[BMI]]&lt;25,"Normal",IF(Table1[[#This Row],[BMI]]&lt;30,"Overweight","Obese")))</f>
        <v>Normal</v>
      </c>
      <c r="H374">
        <v>21</v>
      </c>
      <c r="I374">
        <v>0.20699999999999999</v>
      </c>
      <c r="J374" t="str">
        <f>IF(Table1[[#This Row],[Age]]&lt;30,"Young (&lt;30)",IF(Table1[[#This Row],[Age]]&lt;=50,"Middle Age (30-50)","Older (&gt;50)"))</f>
        <v>Middle Age (30-50)</v>
      </c>
      <c r="K374">
        <v>37</v>
      </c>
      <c r="L374">
        <v>0</v>
      </c>
    </row>
    <row r="375" spans="1:12" x14ac:dyDescent="0.3">
      <c r="A375">
        <v>3</v>
      </c>
      <c r="B375" t="str">
        <f>IF(Table1[[#This Row],[Glucose]]&lt;100,"Normal",IF(Table1[[#This Row],[Glucose]]&lt;126,"Prediabetes","High Risk"))</f>
        <v>Prediabetes</v>
      </c>
      <c r="C375">
        <v>113</v>
      </c>
      <c r="D375">
        <v>50</v>
      </c>
      <c r="E375">
        <v>10</v>
      </c>
      <c r="F375">
        <v>85</v>
      </c>
      <c r="G375" t="str">
        <f>IF(Table1[[#This Row],[BMI]]&lt;18.5,"Underweight",IF(Table1[[#This Row],[BMI]]&lt;25,"Normal",IF(Table1[[#This Row],[BMI]]&lt;30,"Overweight","Obese")))</f>
        <v>Overweight</v>
      </c>
      <c r="H375">
        <v>29.5</v>
      </c>
      <c r="I375">
        <v>0.626</v>
      </c>
      <c r="J375" t="str">
        <f>IF(Table1[[#This Row],[Age]]&lt;30,"Young (&lt;30)",IF(Table1[[#This Row],[Age]]&lt;=50,"Middle Age (30-50)","Older (&gt;50)"))</f>
        <v>Young (&lt;30)</v>
      </c>
      <c r="K375">
        <v>25</v>
      </c>
      <c r="L375">
        <v>0</v>
      </c>
    </row>
    <row r="376" spans="1:12" x14ac:dyDescent="0.3">
      <c r="A376">
        <v>3</v>
      </c>
      <c r="B376" t="str">
        <f>IF(Table1[[#This Row],[Glucose]]&lt;100,"Normal",IF(Table1[[#This Row],[Glucose]]&lt;126,"Prediabetes","High Risk"))</f>
        <v>Normal</v>
      </c>
      <c r="C376">
        <v>99</v>
      </c>
      <c r="D376">
        <v>80</v>
      </c>
      <c r="E376">
        <v>11</v>
      </c>
      <c r="F376">
        <v>64</v>
      </c>
      <c r="G376" t="str">
        <f>IF(Table1[[#This Row],[BMI]]&lt;18.5,"Underweight",IF(Table1[[#This Row],[BMI]]&lt;25,"Normal",IF(Table1[[#This Row],[BMI]]&lt;30,"Overweight","Obese")))</f>
        <v>Normal</v>
      </c>
      <c r="H376">
        <v>19.3</v>
      </c>
      <c r="I376">
        <v>0.28399999999999997</v>
      </c>
      <c r="J376" t="str">
        <f>IF(Table1[[#This Row],[Age]]&lt;30,"Young (&lt;30)",IF(Table1[[#This Row],[Age]]&lt;=50,"Middle Age (30-50)","Older (&gt;50)"))</f>
        <v>Middle Age (30-50)</v>
      </c>
      <c r="K376">
        <v>30</v>
      </c>
      <c r="L376">
        <v>0</v>
      </c>
    </row>
    <row r="377" spans="1:12" x14ac:dyDescent="0.3">
      <c r="A377">
        <v>3</v>
      </c>
      <c r="B377" t="str">
        <f>IF(Table1[[#This Row],[Glucose]]&lt;100,"Normal",IF(Table1[[#This Row],[Glucose]]&lt;126,"Prediabetes","High Risk"))</f>
        <v>High Risk</v>
      </c>
      <c r="C377">
        <v>182</v>
      </c>
      <c r="D377">
        <v>74</v>
      </c>
      <c r="E377">
        <v>0</v>
      </c>
      <c r="F377">
        <v>0</v>
      </c>
      <c r="G377" t="str">
        <f>IF(Table1[[#This Row],[BMI]]&lt;18.5,"Underweight",IF(Table1[[#This Row],[BMI]]&lt;25,"Normal",IF(Table1[[#This Row],[BMI]]&lt;30,"Overweight","Obese")))</f>
        <v>Obese</v>
      </c>
      <c r="H377">
        <v>30.5</v>
      </c>
      <c r="I377">
        <v>0.34499999999999997</v>
      </c>
      <c r="J377" t="str">
        <f>IF(Table1[[#This Row],[Age]]&lt;30,"Young (&lt;30)",IF(Table1[[#This Row],[Age]]&lt;=50,"Middle Age (30-50)","Older (&gt;50)"))</f>
        <v>Young (&lt;30)</v>
      </c>
      <c r="K377">
        <v>29</v>
      </c>
      <c r="L377">
        <v>1</v>
      </c>
    </row>
    <row r="378" spans="1:12" x14ac:dyDescent="0.3">
      <c r="A378">
        <v>3</v>
      </c>
      <c r="B378" t="str">
        <f>IF(Table1[[#This Row],[Glucose]]&lt;100,"Normal",IF(Table1[[#This Row],[Glucose]]&lt;126,"Prediabetes","High Risk"))</f>
        <v>Prediabetes</v>
      </c>
      <c r="C378">
        <v>115</v>
      </c>
      <c r="D378">
        <v>66</v>
      </c>
      <c r="E378">
        <v>39</v>
      </c>
      <c r="F378">
        <v>140</v>
      </c>
      <c r="G378" t="str">
        <f>IF(Table1[[#This Row],[BMI]]&lt;18.5,"Underweight",IF(Table1[[#This Row],[BMI]]&lt;25,"Normal",IF(Table1[[#This Row],[BMI]]&lt;30,"Overweight","Obese")))</f>
        <v>Obese</v>
      </c>
      <c r="H378">
        <v>38.1</v>
      </c>
      <c r="I378">
        <v>0.15</v>
      </c>
      <c r="J378" t="str">
        <f>IF(Table1[[#This Row],[Age]]&lt;30,"Young (&lt;30)",IF(Table1[[#This Row],[Age]]&lt;=50,"Middle Age (30-50)","Older (&gt;50)"))</f>
        <v>Young (&lt;30)</v>
      </c>
      <c r="K378">
        <v>28</v>
      </c>
      <c r="L378">
        <v>0</v>
      </c>
    </row>
    <row r="379" spans="1:12" x14ac:dyDescent="0.3">
      <c r="A379">
        <v>3</v>
      </c>
      <c r="B379" t="str">
        <f>IF(Table1[[#This Row],[Glucose]]&lt;100,"Normal",IF(Table1[[#This Row],[Glucose]]&lt;126,"Prediabetes","High Risk"))</f>
        <v>Prediabetes</v>
      </c>
      <c r="C379">
        <v>112</v>
      </c>
      <c r="D379">
        <v>74</v>
      </c>
      <c r="E379">
        <v>30</v>
      </c>
      <c r="F379">
        <v>0</v>
      </c>
      <c r="G379" t="str">
        <f>IF(Table1[[#This Row],[BMI]]&lt;18.5,"Underweight",IF(Table1[[#This Row],[BMI]]&lt;25,"Normal",IF(Table1[[#This Row],[BMI]]&lt;30,"Overweight","Obese")))</f>
        <v>Obese</v>
      </c>
      <c r="H379">
        <v>31.6</v>
      </c>
      <c r="I379">
        <v>0.19700000000000001</v>
      </c>
      <c r="J379" t="str">
        <f>IF(Table1[[#This Row],[Age]]&lt;30,"Young (&lt;30)",IF(Table1[[#This Row],[Age]]&lt;=50,"Middle Age (30-50)","Older (&gt;50)"))</f>
        <v>Young (&lt;30)</v>
      </c>
      <c r="K379">
        <v>25</v>
      </c>
      <c r="L379">
        <v>1</v>
      </c>
    </row>
    <row r="380" spans="1:12" x14ac:dyDescent="0.3">
      <c r="A380">
        <v>3</v>
      </c>
      <c r="B380" t="str">
        <f>IF(Table1[[#This Row],[Glucose]]&lt;100,"Normal",IF(Table1[[#This Row],[Glucose]]&lt;126,"Prediabetes","High Risk"))</f>
        <v>Prediabetes</v>
      </c>
      <c r="C380">
        <v>116</v>
      </c>
      <c r="D380">
        <v>0</v>
      </c>
      <c r="E380">
        <v>0</v>
      </c>
      <c r="F380">
        <v>0</v>
      </c>
      <c r="G380" t="str">
        <f>IF(Table1[[#This Row],[BMI]]&lt;18.5,"Underweight",IF(Table1[[#This Row],[BMI]]&lt;25,"Normal",IF(Table1[[#This Row],[BMI]]&lt;30,"Overweight","Obese")))</f>
        <v>Normal</v>
      </c>
      <c r="H380">
        <v>23.5</v>
      </c>
      <c r="I380">
        <v>0.187</v>
      </c>
      <c r="J380" t="str">
        <f>IF(Table1[[#This Row],[Age]]&lt;30,"Young (&lt;30)",IF(Table1[[#This Row],[Age]]&lt;=50,"Middle Age (30-50)","Older (&gt;50)"))</f>
        <v>Young (&lt;30)</v>
      </c>
      <c r="K380">
        <v>23</v>
      </c>
      <c r="L380">
        <v>0</v>
      </c>
    </row>
    <row r="381" spans="1:12" x14ac:dyDescent="0.3">
      <c r="A381">
        <v>3</v>
      </c>
      <c r="B381" t="str">
        <f>IF(Table1[[#This Row],[Glucose]]&lt;100,"Normal",IF(Table1[[#This Row],[Glucose]]&lt;126,"Prediabetes","High Risk"))</f>
        <v>Normal</v>
      </c>
      <c r="C381">
        <v>99</v>
      </c>
      <c r="D381">
        <v>62</v>
      </c>
      <c r="E381">
        <v>19</v>
      </c>
      <c r="F381">
        <v>74</v>
      </c>
      <c r="G381" t="str">
        <f>IF(Table1[[#This Row],[BMI]]&lt;18.5,"Underweight",IF(Table1[[#This Row],[BMI]]&lt;25,"Normal",IF(Table1[[#This Row],[BMI]]&lt;30,"Overweight","Obese")))</f>
        <v>Normal</v>
      </c>
      <c r="H381">
        <v>21.8</v>
      </c>
      <c r="I381">
        <v>0.27900000000000003</v>
      </c>
      <c r="J381" t="str">
        <f>IF(Table1[[#This Row],[Age]]&lt;30,"Young (&lt;30)",IF(Table1[[#This Row],[Age]]&lt;=50,"Middle Age (30-50)","Older (&gt;50)"))</f>
        <v>Young (&lt;30)</v>
      </c>
      <c r="K381">
        <v>26</v>
      </c>
      <c r="L381">
        <v>0</v>
      </c>
    </row>
    <row r="382" spans="1:12" x14ac:dyDescent="0.3">
      <c r="A382">
        <v>3</v>
      </c>
      <c r="B382" t="str">
        <f>IF(Table1[[#This Row],[Glucose]]&lt;100,"Normal",IF(Table1[[#This Row],[Glucose]]&lt;126,"Prediabetes","High Risk"))</f>
        <v>Normal</v>
      </c>
      <c r="C382">
        <v>61</v>
      </c>
      <c r="D382">
        <v>82</v>
      </c>
      <c r="E382">
        <v>28</v>
      </c>
      <c r="F382">
        <v>0</v>
      </c>
      <c r="G382" t="str">
        <f>IF(Table1[[#This Row],[BMI]]&lt;18.5,"Underweight",IF(Table1[[#This Row],[BMI]]&lt;25,"Normal",IF(Table1[[#This Row],[BMI]]&lt;30,"Overweight","Obese")))</f>
        <v>Obese</v>
      </c>
      <c r="H382">
        <v>34.4</v>
      </c>
      <c r="I382">
        <v>0.24299999999999999</v>
      </c>
      <c r="J382" t="str">
        <f>IF(Table1[[#This Row],[Age]]&lt;30,"Young (&lt;30)",IF(Table1[[#This Row],[Age]]&lt;=50,"Middle Age (30-50)","Older (&gt;50)"))</f>
        <v>Middle Age (30-50)</v>
      </c>
      <c r="K382">
        <v>46</v>
      </c>
      <c r="L382">
        <v>0</v>
      </c>
    </row>
    <row r="383" spans="1:12" x14ac:dyDescent="0.3">
      <c r="A383">
        <v>3</v>
      </c>
      <c r="B383" t="str">
        <f>IF(Table1[[#This Row],[Glucose]]&lt;100,"Normal",IF(Table1[[#This Row],[Glucose]]&lt;126,"Prediabetes","High Risk"))</f>
        <v>Normal</v>
      </c>
      <c r="C383">
        <v>90</v>
      </c>
      <c r="D383">
        <v>78</v>
      </c>
      <c r="E383">
        <v>0</v>
      </c>
      <c r="F383">
        <v>0</v>
      </c>
      <c r="G383" t="str">
        <f>IF(Table1[[#This Row],[BMI]]&lt;18.5,"Underweight",IF(Table1[[#This Row],[BMI]]&lt;25,"Normal",IF(Table1[[#This Row],[BMI]]&lt;30,"Overweight","Obese")))</f>
        <v>Obese</v>
      </c>
      <c r="H383">
        <v>42.7</v>
      </c>
      <c r="I383">
        <v>0.55900000000000005</v>
      </c>
      <c r="J383" t="str">
        <f>IF(Table1[[#This Row],[Age]]&lt;30,"Young (&lt;30)",IF(Table1[[#This Row],[Age]]&lt;=50,"Middle Age (30-50)","Older (&gt;50)"))</f>
        <v>Young (&lt;30)</v>
      </c>
      <c r="K383">
        <v>21</v>
      </c>
      <c r="L383">
        <v>0</v>
      </c>
    </row>
    <row r="384" spans="1:12" x14ac:dyDescent="0.3">
      <c r="A384">
        <v>3</v>
      </c>
      <c r="B384" t="str">
        <f>IF(Table1[[#This Row],[Glucose]]&lt;100,"Normal",IF(Table1[[#This Row],[Glucose]]&lt;126,"Prediabetes","High Risk"))</f>
        <v>Normal</v>
      </c>
      <c r="C384">
        <v>81</v>
      </c>
      <c r="D384">
        <v>86</v>
      </c>
      <c r="E384">
        <v>16</v>
      </c>
      <c r="F384">
        <v>66</v>
      </c>
      <c r="G384" t="str">
        <f>IF(Table1[[#This Row],[BMI]]&lt;18.5,"Underweight",IF(Table1[[#This Row],[BMI]]&lt;25,"Normal",IF(Table1[[#This Row],[BMI]]&lt;30,"Overweight","Obese")))</f>
        <v>Overweight</v>
      </c>
      <c r="H384">
        <v>27.5</v>
      </c>
      <c r="I384">
        <v>0.30599999999999999</v>
      </c>
      <c r="J384" t="str">
        <f>IF(Table1[[#This Row],[Age]]&lt;30,"Young (&lt;30)",IF(Table1[[#This Row],[Age]]&lt;=50,"Middle Age (30-50)","Older (&gt;50)"))</f>
        <v>Young (&lt;30)</v>
      </c>
      <c r="K384">
        <v>22</v>
      </c>
      <c r="L384">
        <v>0</v>
      </c>
    </row>
    <row r="385" spans="1:12" x14ac:dyDescent="0.3">
      <c r="A385">
        <v>3</v>
      </c>
      <c r="B385" t="str">
        <f>IF(Table1[[#This Row],[Glucose]]&lt;100,"Normal",IF(Table1[[#This Row],[Glucose]]&lt;126,"Prediabetes","High Risk"))</f>
        <v>High Risk</v>
      </c>
      <c r="C385">
        <v>173</v>
      </c>
      <c r="D385">
        <v>82</v>
      </c>
      <c r="E385">
        <v>48</v>
      </c>
      <c r="F385">
        <v>465</v>
      </c>
      <c r="G385" t="str">
        <f>IF(Table1[[#This Row],[BMI]]&lt;18.5,"Underweight",IF(Table1[[#This Row],[BMI]]&lt;25,"Normal",IF(Table1[[#This Row],[BMI]]&lt;30,"Overweight","Obese")))</f>
        <v>Obese</v>
      </c>
      <c r="H385">
        <v>38.4</v>
      </c>
      <c r="I385">
        <v>2.137</v>
      </c>
      <c r="J385" t="str">
        <f>IF(Table1[[#This Row],[Age]]&lt;30,"Young (&lt;30)",IF(Table1[[#This Row],[Age]]&lt;=50,"Middle Age (30-50)","Older (&gt;50)"))</f>
        <v>Young (&lt;30)</v>
      </c>
      <c r="K385">
        <v>25</v>
      </c>
      <c r="L385">
        <v>1</v>
      </c>
    </row>
    <row r="386" spans="1:12" x14ac:dyDescent="0.3">
      <c r="A386">
        <v>3</v>
      </c>
      <c r="B386" t="str">
        <f>IF(Table1[[#This Row],[Glucose]]&lt;100,"Normal",IF(Table1[[#This Row],[Glucose]]&lt;126,"Prediabetes","High Risk"))</f>
        <v>Prediabetes</v>
      </c>
      <c r="C386">
        <v>100</v>
      </c>
      <c r="D386">
        <v>68</v>
      </c>
      <c r="E386">
        <v>23</v>
      </c>
      <c r="F386">
        <v>81</v>
      </c>
      <c r="G386" t="str">
        <f>IF(Table1[[#This Row],[BMI]]&lt;18.5,"Underweight",IF(Table1[[#This Row],[BMI]]&lt;25,"Normal",IF(Table1[[#This Row],[BMI]]&lt;30,"Overweight","Obese")))</f>
        <v>Obese</v>
      </c>
      <c r="H386">
        <v>31.6</v>
      </c>
      <c r="I386">
        <v>0.94899999999999995</v>
      </c>
      <c r="J386" t="str">
        <f>IF(Table1[[#This Row],[Age]]&lt;30,"Young (&lt;30)",IF(Table1[[#This Row],[Age]]&lt;=50,"Middle Age (30-50)","Older (&gt;50)"))</f>
        <v>Young (&lt;30)</v>
      </c>
      <c r="K386">
        <v>28</v>
      </c>
      <c r="L386">
        <v>0</v>
      </c>
    </row>
    <row r="387" spans="1:12" x14ac:dyDescent="0.3">
      <c r="A387">
        <v>3</v>
      </c>
      <c r="B387" t="str">
        <f>IF(Table1[[#This Row],[Glucose]]&lt;100,"Normal",IF(Table1[[#This Row],[Glucose]]&lt;126,"Prediabetes","High Risk"))</f>
        <v>Normal</v>
      </c>
      <c r="C387">
        <v>96</v>
      </c>
      <c r="D387">
        <v>56</v>
      </c>
      <c r="E387">
        <v>34</v>
      </c>
      <c r="F387">
        <v>115</v>
      </c>
      <c r="G387" t="str">
        <f>IF(Table1[[#This Row],[BMI]]&lt;18.5,"Underweight",IF(Table1[[#This Row],[BMI]]&lt;25,"Normal",IF(Table1[[#This Row],[BMI]]&lt;30,"Overweight","Obese")))</f>
        <v>Normal</v>
      </c>
      <c r="H387">
        <v>24.7</v>
      </c>
      <c r="I387">
        <v>0.94399999999999995</v>
      </c>
      <c r="J387" t="str">
        <f>IF(Table1[[#This Row],[Age]]&lt;30,"Young (&lt;30)",IF(Table1[[#This Row],[Age]]&lt;=50,"Middle Age (30-50)","Older (&gt;50)"))</f>
        <v>Middle Age (30-50)</v>
      </c>
      <c r="K387">
        <v>39</v>
      </c>
      <c r="L387">
        <v>0</v>
      </c>
    </row>
    <row r="388" spans="1:12" x14ac:dyDescent="0.3">
      <c r="A388">
        <v>3</v>
      </c>
      <c r="B388" t="str">
        <f>IF(Table1[[#This Row],[Glucose]]&lt;100,"Normal",IF(Table1[[#This Row],[Glucose]]&lt;126,"Prediabetes","High Risk"))</f>
        <v>Normal</v>
      </c>
      <c r="C388">
        <v>82</v>
      </c>
      <c r="D388">
        <v>70</v>
      </c>
      <c r="E388">
        <v>0</v>
      </c>
      <c r="F388">
        <v>0</v>
      </c>
      <c r="G388" t="str">
        <f>IF(Table1[[#This Row],[BMI]]&lt;18.5,"Underweight",IF(Table1[[#This Row],[BMI]]&lt;25,"Normal",IF(Table1[[#This Row],[BMI]]&lt;30,"Overweight","Obese")))</f>
        <v>Normal</v>
      </c>
      <c r="H388">
        <v>21.1</v>
      </c>
      <c r="I388">
        <v>0.38900000000000001</v>
      </c>
      <c r="J388" t="str">
        <f>IF(Table1[[#This Row],[Age]]&lt;30,"Young (&lt;30)",IF(Table1[[#This Row],[Age]]&lt;=50,"Middle Age (30-50)","Older (&gt;50)"))</f>
        <v>Young (&lt;30)</v>
      </c>
      <c r="K388">
        <v>25</v>
      </c>
      <c r="L388">
        <v>0</v>
      </c>
    </row>
    <row r="389" spans="1:12" x14ac:dyDescent="0.3">
      <c r="A389">
        <v>3</v>
      </c>
      <c r="B389" t="str">
        <f>IF(Table1[[#This Row],[Glucose]]&lt;100,"Normal",IF(Table1[[#This Row],[Glucose]]&lt;126,"Prediabetes","High Risk"))</f>
        <v>High Risk</v>
      </c>
      <c r="C389">
        <v>193</v>
      </c>
      <c r="D389">
        <v>70</v>
      </c>
      <c r="E389">
        <v>31</v>
      </c>
      <c r="F389">
        <v>0</v>
      </c>
      <c r="G389" t="str">
        <f>IF(Table1[[#This Row],[BMI]]&lt;18.5,"Underweight",IF(Table1[[#This Row],[BMI]]&lt;25,"Normal",IF(Table1[[#This Row],[BMI]]&lt;30,"Overweight","Obese")))</f>
        <v>Obese</v>
      </c>
      <c r="H389">
        <v>34.9</v>
      </c>
      <c r="I389">
        <v>0.24099999999999999</v>
      </c>
      <c r="J389" t="str">
        <f>IF(Table1[[#This Row],[Age]]&lt;30,"Young (&lt;30)",IF(Table1[[#This Row],[Age]]&lt;=50,"Middle Age (30-50)","Older (&gt;50)"))</f>
        <v>Young (&lt;30)</v>
      </c>
      <c r="K389">
        <v>25</v>
      </c>
      <c r="L389">
        <v>1</v>
      </c>
    </row>
    <row r="390" spans="1:12" x14ac:dyDescent="0.3">
      <c r="A390">
        <v>3</v>
      </c>
      <c r="B390" t="str">
        <f>IF(Table1[[#This Row],[Glucose]]&lt;100,"Normal",IF(Table1[[#This Row],[Glucose]]&lt;126,"Prediabetes","High Risk"))</f>
        <v>High Risk</v>
      </c>
      <c r="C390">
        <v>173</v>
      </c>
      <c r="D390">
        <v>84</v>
      </c>
      <c r="E390">
        <v>33</v>
      </c>
      <c r="F390">
        <v>474</v>
      </c>
      <c r="G390" t="str">
        <f>IF(Table1[[#This Row],[BMI]]&lt;18.5,"Underweight",IF(Table1[[#This Row],[BMI]]&lt;25,"Normal",IF(Table1[[#This Row],[BMI]]&lt;30,"Overweight","Obese")))</f>
        <v>Obese</v>
      </c>
      <c r="H390">
        <v>35.700000000000003</v>
      </c>
      <c r="I390">
        <v>0.25800000000000001</v>
      </c>
      <c r="J390" t="str">
        <f>IF(Table1[[#This Row],[Age]]&lt;30,"Young (&lt;30)",IF(Table1[[#This Row],[Age]]&lt;=50,"Middle Age (30-50)","Older (&gt;50)"))</f>
        <v>Young (&lt;30)</v>
      </c>
      <c r="K390">
        <v>22</v>
      </c>
      <c r="L390">
        <v>1</v>
      </c>
    </row>
    <row r="391" spans="1:12" x14ac:dyDescent="0.3">
      <c r="A391">
        <v>3</v>
      </c>
      <c r="B391" t="str">
        <f>IF(Table1[[#This Row],[Glucose]]&lt;100,"Normal",IF(Table1[[#This Row],[Glucose]]&lt;126,"Prediabetes","High Risk"))</f>
        <v>High Risk</v>
      </c>
      <c r="C391">
        <v>129</v>
      </c>
      <c r="D391">
        <v>64</v>
      </c>
      <c r="E391">
        <v>29</v>
      </c>
      <c r="F391">
        <v>115</v>
      </c>
      <c r="G391" t="str">
        <f>IF(Table1[[#This Row],[BMI]]&lt;18.5,"Underweight",IF(Table1[[#This Row],[BMI]]&lt;25,"Normal",IF(Table1[[#This Row],[BMI]]&lt;30,"Overweight","Obese")))</f>
        <v>Overweight</v>
      </c>
      <c r="H391">
        <v>26.4</v>
      </c>
      <c r="I391">
        <v>0.219</v>
      </c>
      <c r="J391" t="str">
        <f>IF(Table1[[#This Row],[Age]]&lt;30,"Young (&lt;30)",IF(Table1[[#This Row],[Age]]&lt;=50,"Middle Age (30-50)","Older (&gt;50)"))</f>
        <v>Young (&lt;30)</v>
      </c>
      <c r="K391">
        <v>28</v>
      </c>
      <c r="L391">
        <v>1</v>
      </c>
    </row>
    <row r="392" spans="1:12" x14ac:dyDescent="0.3">
      <c r="A392">
        <v>3</v>
      </c>
      <c r="B392" t="str">
        <f>IF(Table1[[#This Row],[Glucose]]&lt;100,"Normal",IF(Table1[[#This Row],[Glucose]]&lt;126,"Prediabetes","High Risk"))</f>
        <v>Normal</v>
      </c>
      <c r="C392">
        <v>89</v>
      </c>
      <c r="D392">
        <v>74</v>
      </c>
      <c r="E392">
        <v>16</v>
      </c>
      <c r="F392">
        <v>85</v>
      </c>
      <c r="G392" t="str">
        <f>IF(Table1[[#This Row],[BMI]]&lt;18.5,"Underweight",IF(Table1[[#This Row],[BMI]]&lt;25,"Normal",IF(Table1[[#This Row],[BMI]]&lt;30,"Overweight","Obese")))</f>
        <v>Obese</v>
      </c>
      <c r="H392">
        <v>30.4</v>
      </c>
      <c r="I392">
        <v>0.55100000000000005</v>
      </c>
      <c r="J392" t="str">
        <f>IF(Table1[[#This Row],[Age]]&lt;30,"Young (&lt;30)",IF(Table1[[#This Row],[Age]]&lt;=50,"Middle Age (30-50)","Older (&gt;50)"))</f>
        <v>Middle Age (30-50)</v>
      </c>
      <c r="K392">
        <v>38</v>
      </c>
      <c r="L392">
        <v>0</v>
      </c>
    </row>
    <row r="393" spans="1:12" x14ac:dyDescent="0.3">
      <c r="A393">
        <v>3</v>
      </c>
      <c r="B393" t="str">
        <f>IF(Table1[[#This Row],[Glucose]]&lt;100,"Normal",IF(Table1[[#This Row],[Glucose]]&lt;126,"Prediabetes","High Risk"))</f>
        <v>High Risk</v>
      </c>
      <c r="C393">
        <v>158</v>
      </c>
      <c r="D393">
        <v>70</v>
      </c>
      <c r="E393">
        <v>30</v>
      </c>
      <c r="F393">
        <v>328</v>
      </c>
      <c r="G393" t="str">
        <f>IF(Table1[[#This Row],[BMI]]&lt;18.5,"Underweight",IF(Table1[[#This Row],[BMI]]&lt;25,"Normal",IF(Table1[[#This Row],[BMI]]&lt;30,"Overweight","Obese")))</f>
        <v>Obese</v>
      </c>
      <c r="H393">
        <v>35.5</v>
      </c>
      <c r="I393">
        <v>0.34399999999999997</v>
      </c>
      <c r="J393" t="str">
        <f>IF(Table1[[#This Row],[Age]]&lt;30,"Young (&lt;30)",IF(Table1[[#This Row],[Age]]&lt;=50,"Middle Age (30-50)","Older (&gt;50)"))</f>
        <v>Middle Age (30-50)</v>
      </c>
      <c r="K393">
        <v>35</v>
      </c>
      <c r="L393">
        <v>1</v>
      </c>
    </row>
    <row r="394" spans="1:12" x14ac:dyDescent="0.3">
      <c r="A394">
        <v>3</v>
      </c>
      <c r="B394" t="str">
        <f>IF(Table1[[#This Row],[Glucose]]&lt;100,"Normal",IF(Table1[[#This Row],[Glucose]]&lt;126,"Prediabetes","High Risk"))</f>
        <v>Normal</v>
      </c>
      <c r="C394">
        <v>80</v>
      </c>
      <c r="D394">
        <v>0</v>
      </c>
      <c r="E394">
        <v>0</v>
      </c>
      <c r="F394">
        <v>0</v>
      </c>
      <c r="G394" t="str">
        <f>IF(Table1[[#This Row],[BMI]]&lt;18.5,"Underweight",IF(Table1[[#This Row],[BMI]]&lt;25,"Normal",IF(Table1[[#This Row],[BMI]]&lt;30,"Overweight","Obese")))</f>
        <v>Underweight</v>
      </c>
      <c r="H394">
        <v>0</v>
      </c>
      <c r="I394">
        <v>0.17399999999999999</v>
      </c>
      <c r="J394" t="str">
        <f>IF(Table1[[#This Row],[Age]]&lt;30,"Young (&lt;30)",IF(Table1[[#This Row],[Age]]&lt;=50,"Middle Age (30-50)","Older (&gt;50)"))</f>
        <v>Young (&lt;30)</v>
      </c>
      <c r="K394">
        <v>22</v>
      </c>
      <c r="L394">
        <v>0</v>
      </c>
    </row>
    <row r="395" spans="1:12" x14ac:dyDescent="0.3">
      <c r="A395">
        <v>3</v>
      </c>
      <c r="B395" t="str">
        <f>IF(Table1[[#This Row],[Glucose]]&lt;100,"Normal",IF(Table1[[#This Row],[Glucose]]&lt;126,"Prediabetes","High Risk"))</f>
        <v>Normal</v>
      </c>
      <c r="C395">
        <v>84</v>
      </c>
      <c r="D395">
        <v>72</v>
      </c>
      <c r="E395">
        <v>32</v>
      </c>
      <c r="F395">
        <v>0</v>
      </c>
      <c r="G395" t="str">
        <f>IF(Table1[[#This Row],[BMI]]&lt;18.5,"Underweight",IF(Table1[[#This Row],[BMI]]&lt;25,"Normal",IF(Table1[[#This Row],[BMI]]&lt;30,"Overweight","Obese")))</f>
        <v>Obese</v>
      </c>
      <c r="H395">
        <v>37.200000000000003</v>
      </c>
      <c r="I395">
        <v>0.26700000000000002</v>
      </c>
      <c r="J395" t="str">
        <f>IF(Table1[[#This Row],[Age]]&lt;30,"Young (&lt;30)",IF(Table1[[#This Row],[Age]]&lt;=50,"Middle Age (30-50)","Older (&gt;50)"))</f>
        <v>Young (&lt;30)</v>
      </c>
      <c r="K395">
        <v>28</v>
      </c>
      <c r="L395">
        <v>0</v>
      </c>
    </row>
    <row r="396" spans="1:12" x14ac:dyDescent="0.3">
      <c r="A396">
        <v>3</v>
      </c>
      <c r="B396" t="str">
        <f>IF(Table1[[#This Row],[Glucose]]&lt;100,"Normal",IF(Table1[[#This Row],[Glucose]]&lt;126,"Prediabetes","High Risk"))</f>
        <v>Normal</v>
      </c>
      <c r="C396">
        <v>96</v>
      </c>
      <c r="D396">
        <v>78</v>
      </c>
      <c r="E396">
        <v>39</v>
      </c>
      <c r="F396">
        <v>0</v>
      </c>
      <c r="G396" t="str">
        <f>IF(Table1[[#This Row],[BMI]]&lt;18.5,"Underweight",IF(Table1[[#This Row],[BMI]]&lt;25,"Normal",IF(Table1[[#This Row],[BMI]]&lt;30,"Overweight","Obese")))</f>
        <v>Obese</v>
      </c>
      <c r="H396">
        <v>37.299999999999997</v>
      </c>
      <c r="I396">
        <v>0.23799999999999999</v>
      </c>
      <c r="J396" t="str">
        <f>IF(Table1[[#This Row],[Age]]&lt;30,"Young (&lt;30)",IF(Table1[[#This Row],[Age]]&lt;=50,"Middle Age (30-50)","Older (&gt;50)"))</f>
        <v>Middle Age (30-50)</v>
      </c>
      <c r="K396">
        <v>40</v>
      </c>
      <c r="L396">
        <v>0</v>
      </c>
    </row>
    <row r="397" spans="1:12" x14ac:dyDescent="0.3">
      <c r="A397">
        <v>3</v>
      </c>
      <c r="B397" t="str">
        <f>IF(Table1[[#This Row],[Glucose]]&lt;100,"Normal",IF(Table1[[#This Row],[Glucose]]&lt;126,"Prediabetes","High Risk"))</f>
        <v>Normal</v>
      </c>
      <c r="C397">
        <v>99</v>
      </c>
      <c r="D397">
        <v>54</v>
      </c>
      <c r="E397">
        <v>19</v>
      </c>
      <c r="F397">
        <v>86</v>
      </c>
      <c r="G397" t="str">
        <f>IF(Table1[[#This Row],[BMI]]&lt;18.5,"Underweight",IF(Table1[[#This Row],[BMI]]&lt;25,"Normal",IF(Table1[[#This Row],[BMI]]&lt;30,"Overweight","Obese")))</f>
        <v>Overweight</v>
      </c>
      <c r="H397">
        <v>25.6</v>
      </c>
      <c r="I397">
        <v>0.154</v>
      </c>
      <c r="J397" t="str">
        <f>IF(Table1[[#This Row],[Age]]&lt;30,"Young (&lt;30)",IF(Table1[[#This Row],[Age]]&lt;=50,"Middle Age (30-50)","Older (&gt;50)"))</f>
        <v>Young (&lt;30)</v>
      </c>
      <c r="K397">
        <v>24</v>
      </c>
      <c r="L397">
        <v>0</v>
      </c>
    </row>
    <row r="398" spans="1:12" x14ac:dyDescent="0.3">
      <c r="A398">
        <v>3</v>
      </c>
      <c r="B398" t="str">
        <f>IF(Table1[[#This Row],[Glucose]]&lt;100,"Normal",IF(Table1[[#This Row],[Glucose]]&lt;126,"Prediabetes","High Risk"))</f>
        <v>High Risk</v>
      </c>
      <c r="C398">
        <v>163</v>
      </c>
      <c r="D398">
        <v>70</v>
      </c>
      <c r="E398">
        <v>18</v>
      </c>
      <c r="F398">
        <v>105</v>
      </c>
      <c r="G398" t="str">
        <f>IF(Table1[[#This Row],[BMI]]&lt;18.5,"Underweight",IF(Table1[[#This Row],[BMI]]&lt;25,"Normal",IF(Table1[[#This Row],[BMI]]&lt;30,"Overweight","Obese")))</f>
        <v>Obese</v>
      </c>
      <c r="H398">
        <v>31.6</v>
      </c>
      <c r="I398">
        <v>0.26800000000000002</v>
      </c>
      <c r="J398" t="str">
        <f>IF(Table1[[#This Row],[Age]]&lt;30,"Young (&lt;30)",IF(Table1[[#This Row],[Age]]&lt;=50,"Middle Age (30-50)","Older (&gt;50)"))</f>
        <v>Young (&lt;30)</v>
      </c>
      <c r="K398">
        <v>28</v>
      </c>
      <c r="L398">
        <v>1</v>
      </c>
    </row>
    <row r="399" spans="1:12" x14ac:dyDescent="0.3">
      <c r="A399">
        <v>3</v>
      </c>
      <c r="B399" t="str">
        <f>IF(Table1[[#This Row],[Glucose]]&lt;100,"Normal",IF(Table1[[#This Row],[Glucose]]&lt;126,"Prediabetes","High Risk"))</f>
        <v>Prediabetes</v>
      </c>
      <c r="C399">
        <v>124</v>
      </c>
      <c r="D399">
        <v>80</v>
      </c>
      <c r="E399">
        <v>33</v>
      </c>
      <c r="F399">
        <v>130</v>
      </c>
      <c r="G399" t="str">
        <f>IF(Table1[[#This Row],[BMI]]&lt;18.5,"Underweight",IF(Table1[[#This Row],[BMI]]&lt;25,"Normal",IF(Table1[[#This Row],[BMI]]&lt;30,"Overweight","Obese")))</f>
        <v>Obese</v>
      </c>
      <c r="H399">
        <v>33.200000000000003</v>
      </c>
      <c r="I399">
        <v>0.30499999999999999</v>
      </c>
      <c r="J399" t="str">
        <f>IF(Table1[[#This Row],[Age]]&lt;30,"Young (&lt;30)",IF(Table1[[#This Row],[Age]]&lt;=50,"Middle Age (30-50)","Older (&gt;50)"))</f>
        <v>Young (&lt;30)</v>
      </c>
      <c r="K399">
        <v>26</v>
      </c>
      <c r="L399">
        <v>0</v>
      </c>
    </row>
    <row r="400" spans="1:12" x14ac:dyDescent="0.3">
      <c r="A400">
        <v>3</v>
      </c>
      <c r="B400" t="str">
        <f>IF(Table1[[#This Row],[Glucose]]&lt;100,"Normal",IF(Table1[[#This Row],[Glucose]]&lt;126,"Prediabetes","High Risk"))</f>
        <v>Prediabetes</v>
      </c>
      <c r="C400">
        <v>125</v>
      </c>
      <c r="D400">
        <v>58</v>
      </c>
      <c r="E400">
        <v>0</v>
      </c>
      <c r="F400">
        <v>0</v>
      </c>
      <c r="G400" t="str">
        <f>IF(Table1[[#This Row],[BMI]]&lt;18.5,"Underweight",IF(Table1[[#This Row],[BMI]]&lt;25,"Normal",IF(Table1[[#This Row],[BMI]]&lt;30,"Overweight","Obese")))</f>
        <v>Obese</v>
      </c>
      <c r="H400">
        <v>31.6</v>
      </c>
      <c r="I400">
        <v>0.151</v>
      </c>
      <c r="J400" t="str">
        <f>IF(Table1[[#This Row],[Age]]&lt;30,"Young (&lt;30)",IF(Table1[[#This Row],[Age]]&lt;=50,"Middle Age (30-50)","Older (&gt;50)"))</f>
        <v>Young (&lt;30)</v>
      </c>
      <c r="K400">
        <v>24</v>
      </c>
      <c r="L400">
        <v>0</v>
      </c>
    </row>
    <row r="401" spans="1:12" x14ac:dyDescent="0.3">
      <c r="A401">
        <v>3</v>
      </c>
      <c r="B401" t="str">
        <f>IF(Table1[[#This Row],[Glucose]]&lt;100,"Normal",IF(Table1[[#This Row],[Glucose]]&lt;126,"Prediabetes","High Risk"))</f>
        <v>Normal</v>
      </c>
      <c r="C401">
        <v>87</v>
      </c>
      <c r="D401">
        <v>60</v>
      </c>
      <c r="E401">
        <v>18</v>
      </c>
      <c r="F401">
        <v>0</v>
      </c>
      <c r="G401" t="str">
        <f>IF(Table1[[#This Row],[BMI]]&lt;18.5,"Underweight",IF(Table1[[#This Row],[BMI]]&lt;25,"Normal",IF(Table1[[#This Row],[BMI]]&lt;30,"Overweight","Obese")))</f>
        <v>Normal</v>
      </c>
      <c r="H401">
        <v>21.8</v>
      </c>
      <c r="I401">
        <v>0.44400000000000001</v>
      </c>
      <c r="J401" t="str">
        <f>IF(Table1[[#This Row],[Age]]&lt;30,"Young (&lt;30)",IF(Table1[[#This Row],[Age]]&lt;=50,"Middle Age (30-50)","Older (&gt;50)"))</f>
        <v>Young (&lt;30)</v>
      </c>
      <c r="K401">
        <v>21</v>
      </c>
      <c r="L401">
        <v>0</v>
      </c>
    </row>
    <row r="402" spans="1:12" x14ac:dyDescent="0.3">
      <c r="A402">
        <v>3</v>
      </c>
      <c r="B402" t="str">
        <f>IF(Table1[[#This Row],[Glucose]]&lt;100,"Normal",IF(Table1[[#This Row],[Glucose]]&lt;126,"Prediabetes","High Risk"))</f>
        <v>Prediabetes</v>
      </c>
      <c r="C402">
        <v>116</v>
      </c>
      <c r="D402">
        <v>74</v>
      </c>
      <c r="E402">
        <v>15</v>
      </c>
      <c r="F402">
        <v>105</v>
      </c>
      <c r="G402" t="str">
        <f>IF(Table1[[#This Row],[BMI]]&lt;18.5,"Underweight",IF(Table1[[#This Row],[BMI]]&lt;25,"Normal",IF(Table1[[#This Row],[BMI]]&lt;30,"Overweight","Obese")))</f>
        <v>Overweight</v>
      </c>
      <c r="H402">
        <v>26.3</v>
      </c>
      <c r="I402">
        <v>0.107</v>
      </c>
      <c r="J402" t="str">
        <f>IF(Table1[[#This Row],[Age]]&lt;30,"Young (&lt;30)",IF(Table1[[#This Row],[Age]]&lt;=50,"Middle Age (30-50)","Older (&gt;50)"))</f>
        <v>Young (&lt;30)</v>
      </c>
      <c r="K402">
        <v>24</v>
      </c>
      <c r="L402">
        <v>0</v>
      </c>
    </row>
    <row r="403" spans="1:12" x14ac:dyDescent="0.3">
      <c r="A403">
        <v>3</v>
      </c>
      <c r="B403" t="str">
        <f>IF(Table1[[#This Row],[Glucose]]&lt;100,"Normal",IF(Table1[[#This Row],[Glucose]]&lt;126,"Prediabetes","High Risk"))</f>
        <v>High Risk</v>
      </c>
      <c r="C403">
        <v>129</v>
      </c>
      <c r="D403">
        <v>92</v>
      </c>
      <c r="E403">
        <v>49</v>
      </c>
      <c r="F403">
        <v>155</v>
      </c>
      <c r="G403" t="str">
        <f>IF(Table1[[#This Row],[BMI]]&lt;18.5,"Underweight",IF(Table1[[#This Row],[BMI]]&lt;25,"Normal",IF(Table1[[#This Row],[BMI]]&lt;30,"Overweight","Obese")))</f>
        <v>Obese</v>
      </c>
      <c r="H403">
        <v>36.4</v>
      </c>
      <c r="I403">
        <v>0.96799999999999997</v>
      </c>
      <c r="J403" t="str">
        <f>IF(Table1[[#This Row],[Age]]&lt;30,"Young (&lt;30)",IF(Table1[[#This Row],[Age]]&lt;=50,"Middle Age (30-50)","Older (&gt;50)"))</f>
        <v>Middle Age (30-50)</v>
      </c>
      <c r="K403">
        <v>32</v>
      </c>
      <c r="L403">
        <v>1</v>
      </c>
    </row>
    <row r="404" spans="1:12" x14ac:dyDescent="0.3">
      <c r="A404">
        <v>3</v>
      </c>
      <c r="B404" t="str">
        <f>IF(Table1[[#This Row],[Glucose]]&lt;100,"Normal",IF(Table1[[#This Row],[Glucose]]&lt;126,"Prediabetes","High Risk"))</f>
        <v>High Risk</v>
      </c>
      <c r="C404">
        <v>128</v>
      </c>
      <c r="D404">
        <v>72</v>
      </c>
      <c r="E404">
        <v>25</v>
      </c>
      <c r="F404">
        <v>190</v>
      </c>
      <c r="G404" t="str">
        <f>IF(Table1[[#This Row],[BMI]]&lt;18.5,"Underweight",IF(Table1[[#This Row],[BMI]]&lt;25,"Normal",IF(Table1[[#This Row],[BMI]]&lt;30,"Overweight","Obese")))</f>
        <v>Obese</v>
      </c>
      <c r="H404">
        <v>32.4</v>
      </c>
      <c r="I404">
        <v>0.54900000000000004</v>
      </c>
      <c r="J404" t="str">
        <f>IF(Table1[[#This Row],[Age]]&lt;30,"Young (&lt;30)",IF(Table1[[#This Row],[Age]]&lt;=50,"Middle Age (30-50)","Older (&gt;50)"))</f>
        <v>Young (&lt;30)</v>
      </c>
      <c r="K404">
        <v>27</v>
      </c>
      <c r="L404">
        <v>1</v>
      </c>
    </row>
    <row r="405" spans="1:12" x14ac:dyDescent="0.3">
      <c r="A405">
        <v>3</v>
      </c>
      <c r="B405" t="str">
        <f>IF(Table1[[#This Row],[Glucose]]&lt;100,"Normal",IF(Table1[[#This Row],[Glucose]]&lt;126,"Prediabetes","High Risk"))</f>
        <v>Normal</v>
      </c>
      <c r="C405">
        <v>84</v>
      </c>
      <c r="D405">
        <v>68</v>
      </c>
      <c r="E405">
        <v>30</v>
      </c>
      <c r="F405">
        <v>106</v>
      </c>
      <c r="G405" t="str">
        <f>IF(Table1[[#This Row],[BMI]]&lt;18.5,"Underweight",IF(Table1[[#This Row],[BMI]]&lt;25,"Normal",IF(Table1[[#This Row],[BMI]]&lt;30,"Overweight","Obese")))</f>
        <v>Obese</v>
      </c>
      <c r="H405">
        <v>31.9</v>
      </c>
      <c r="I405">
        <v>0.59099999999999997</v>
      </c>
      <c r="J405" t="str">
        <f>IF(Table1[[#This Row],[Age]]&lt;30,"Young (&lt;30)",IF(Table1[[#This Row],[Age]]&lt;=50,"Middle Age (30-50)","Older (&gt;50)"))</f>
        <v>Young (&lt;30)</v>
      </c>
      <c r="K405">
        <v>25</v>
      </c>
      <c r="L405">
        <v>0</v>
      </c>
    </row>
    <row r="406" spans="1:12" x14ac:dyDescent="0.3">
      <c r="A406">
        <v>3</v>
      </c>
      <c r="B406" t="str">
        <f>IF(Table1[[#This Row],[Glucose]]&lt;100,"Normal",IF(Table1[[#This Row],[Glucose]]&lt;126,"Prediabetes","High Risk"))</f>
        <v>Normal</v>
      </c>
      <c r="C406">
        <v>78</v>
      </c>
      <c r="D406">
        <v>70</v>
      </c>
      <c r="E406">
        <v>0</v>
      </c>
      <c r="F406">
        <v>0</v>
      </c>
      <c r="G406" t="str">
        <f>IF(Table1[[#This Row],[BMI]]&lt;18.5,"Underweight",IF(Table1[[#This Row],[BMI]]&lt;25,"Normal",IF(Table1[[#This Row],[BMI]]&lt;30,"Overweight","Obese")))</f>
        <v>Obese</v>
      </c>
      <c r="H406">
        <v>32.5</v>
      </c>
      <c r="I406">
        <v>0.27</v>
      </c>
      <c r="J406" t="str">
        <f>IF(Table1[[#This Row],[Age]]&lt;30,"Young (&lt;30)",IF(Table1[[#This Row],[Age]]&lt;=50,"Middle Age (30-50)","Older (&gt;50)"))</f>
        <v>Middle Age (30-50)</v>
      </c>
      <c r="K406">
        <v>39</v>
      </c>
      <c r="L406">
        <v>0</v>
      </c>
    </row>
    <row r="407" spans="1:12" x14ac:dyDescent="0.3">
      <c r="A407">
        <v>3</v>
      </c>
      <c r="B407" t="str">
        <f>IF(Table1[[#This Row],[Glucose]]&lt;100,"Normal",IF(Table1[[#This Row],[Glucose]]&lt;126,"Prediabetes","High Risk"))</f>
        <v>Prediabetes</v>
      </c>
      <c r="C407">
        <v>111</v>
      </c>
      <c r="D407">
        <v>58</v>
      </c>
      <c r="E407">
        <v>31</v>
      </c>
      <c r="F407">
        <v>44</v>
      </c>
      <c r="G407" t="str">
        <f>IF(Table1[[#This Row],[BMI]]&lt;18.5,"Underweight",IF(Table1[[#This Row],[BMI]]&lt;25,"Normal",IF(Table1[[#This Row],[BMI]]&lt;30,"Overweight","Obese")))</f>
        <v>Overweight</v>
      </c>
      <c r="H407">
        <v>29.5</v>
      </c>
      <c r="I407">
        <v>0.43</v>
      </c>
      <c r="J407" t="str">
        <f>IF(Table1[[#This Row],[Age]]&lt;30,"Young (&lt;30)",IF(Table1[[#This Row],[Age]]&lt;=50,"Middle Age (30-50)","Older (&gt;50)"))</f>
        <v>Young (&lt;30)</v>
      </c>
      <c r="K407">
        <v>22</v>
      </c>
      <c r="L407">
        <v>0</v>
      </c>
    </row>
    <row r="408" spans="1:12" x14ac:dyDescent="0.3">
      <c r="A408">
        <v>3</v>
      </c>
      <c r="B408" t="str">
        <f>IF(Table1[[#This Row],[Glucose]]&lt;100,"Normal",IF(Table1[[#This Row],[Glucose]]&lt;126,"Prediabetes","High Risk"))</f>
        <v>High Risk</v>
      </c>
      <c r="C408">
        <v>176</v>
      </c>
      <c r="D408">
        <v>86</v>
      </c>
      <c r="E408">
        <v>27</v>
      </c>
      <c r="F408">
        <v>156</v>
      </c>
      <c r="G408" t="str">
        <f>IF(Table1[[#This Row],[BMI]]&lt;18.5,"Underweight",IF(Table1[[#This Row],[BMI]]&lt;25,"Normal",IF(Table1[[#This Row],[BMI]]&lt;30,"Overweight","Obese")))</f>
        <v>Obese</v>
      </c>
      <c r="H408">
        <v>33.299999999999997</v>
      </c>
      <c r="I408">
        <v>1.1539999999999999</v>
      </c>
      <c r="J408" t="str">
        <f>IF(Table1[[#This Row],[Age]]&lt;30,"Young (&lt;30)",IF(Table1[[#This Row],[Age]]&lt;=50,"Middle Age (30-50)","Older (&gt;50)"))</f>
        <v>Older (&gt;50)</v>
      </c>
      <c r="K408">
        <v>52</v>
      </c>
      <c r="L408">
        <v>1</v>
      </c>
    </row>
    <row r="409" spans="1:12" x14ac:dyDescent="0.3">
      <c r="A409">
        <v>3</v>
      </c>
      <c r="B409" t="str">
        <f>IF(Table1[[#This Row],[Glucose]]&lt;100,"Normal",IF(Table1[[#This Row],[Glucose]]&lt;126,"Prediabetes","High Risk"))</f>
        <v>High Risk</v>
      </c>
      <c r="C409">
        <v>132</v>
      </c>
      <c r="D409">
        <v>80</v>
      </c>
      <c r="E409">
        <v>0</v>
      </c>
      <c r="F409">
        <v>0</v>
      </c>
      <c r="G409" t="str">
        <f>IF(Table1[[#This Row],[BMI]]&lt;18.5,"Underweight",IF(Table1[[#This Row],[BMI]]&lt;25,"Normal",IF(Table1[[#This Row],[BMI]]&lt;30,"Overweight","Obese")))</f>
        <v>Obese</v>
      </c>
      <c r="H409">
        <v>34.4</v>
      </c>
      <c r="I409">
        <v>0.40200000000000002</v>
      </c>
      <c r="J409" t="str">
        <f>IF(Table1[[#This Row],[Age]]&lt;30,"Young (&lt;30)",IF(Table1[[#This Row],[Age]]&lt;=50,"Middle Age (30-50)","Older (&gt;50)"))</f>
        <v>Middle Age (30-50)</v>
      </c>
      <c r="K409">
        <v>44</v>
      </c>
      <c r="L409">
        <v>1</v>
      </c>
    </row>
    <row r="410" spans="1:12" x14ac:dyDescent="0.3">
      <c r="A410">
        <v>3</v>
      </c>
      <c r="B410" t="str">
        <f>IF(Table1[[#This Row],[Glucose]]&lt;100,"Normal",IF(Table1[[#This Row],[Glucose]]&lt;126,"Prediabetes","High Risk"))</f>
        <v>Prediabetes</v>
      </c>
      <c r="C410">
        <v>106</v>
      </c>
      <c r="D410">
        <v>54</v>
      </c>
      <c r="E410">
        <v>21</v>
      </c>
      <c r="F410">
        <v>158</v>
      </c>
      <c r="G410" t="str">
        <f>IF(Table1[[#This Row],[BMI]]&lt;18.5,"Underweight",IF(Table1[[#This Row],[BMI]]&lt;25,"Normal",IF(Table1[[#This Row],[BMI]]&lt;30,"Overweight","Obese")))</f>
        <v>Obese</v>
      </c>
      <c r="H410">
        <v>30.9</v>
      </c>
      <c r="I410">
        <v>0.29199999999999998</v>
      </c>
      <c r="J410" t="str">
        <f>IF(Table1[[#This Row],[Age]]&lt;30,"Young (&lt;30)",IF(Table1[[#This Row],[Age]]&lt;=50,"Middle Age (30-50)","Older (&gt;50)"))</f>
        <v>Young (&lt;30)</v>
      </c>
      <c r="K410">
        <v>24</v>
      </c>
      <c r="L410">
        <v>0</v>
      </c>
    </row>
    <row r="411" spans="1:12" x14ac:dyDescent="0.3">
      <c r="A411">
        <v>3</v>
      </c>
      <c r="B411" t="str">
        <f>IF(Table1[[#This Row],[Glucose]]&lt;100,"Normal",IF(Table1[[#This Row],[Glucose]]&lt;126,"Prediabetes","High Risk"))</f>
        <v>High Risk</v>
      </c>
      <c r="C411">
        <v>174</v>
      </c>
      <c r="D411">
        <v>58</v>
      </c>
      <c r="E411">
        <v>22</v>
      </c>
      <c r="F411">
        <v>194</v>
      </c>
      <c r="G411" t="str">
        <f>IF(Table1[[#This Row],[BMI]]&lt;18.5,"Underweight",IF(Table1[[#This Row],[BMI]]&lt;25,"Normal",IF(Table1[[#This Row],[BMI]]&lt;30,"Overweight","Obese")))</f>
        <v>Obese</v>
      </c>
      <c r="H411">
        <v>32.9</v>
      </c>
      <c r="I411">
        <v>0.59299999999999997</v>
      </c>
      <c r="J411" t="str">
        <f>IF(Table1[[#This Row],[Age]]&lt;30,"Young (&lt;30)",IF(Table1[[#This Row],[Age]]&lt;=50,"Middle Age (30-50)","Older (&gt;50)"))</f>
        <v>Middle Age (30-50)</v>
      </c>
      <c r="K411">
        <v>36</v>
      </c>
      <c r="L411">
        <v>1</v>
      </c>
    </row>
    <row r="412" spans="1:12" x14ac:dyDescent="0.3">
      <c r="A412">
        <v>3</v>
      </c>
      <c r="B412" t="str">
        <f>IF(Table1[[#This Row],[Glucose]]&lt;100,"Normal",IF(Table1[[#This Row],[Glucose]]&lt;126,"Prediabetes","High Risk"))</f>
        <v>Prediabetes</v>
      </c>
      <c r="C412">
        <v>106</v>
      </c>
      <c r="D412">
        <v>72</v>
      </c>
      <c r="E412">
        <v>0</v>
      </c>
      <c r="F412">
        <v>0</v>
      </c>
      <c r="G412" t="str">
        <f>IF(Table1[[#This Row],[BMI]]&lt;18.5,"Underweight",IF(Table1[[#This Row],[BMI]]&lt;25,"Normal",IF(Table1[[#This Row],[BMI]]&lt;30,"Overweight","Obese")))</f>
        <v>Overweight</v>
      </c>
      <c r="H412">
        <v>25.8</v>
      </c>
      <c r="I412">
        <v>0.20699999999999999</v>
      </c>
      <c r="J412" t="str">
        <f>IF(Table1[[#This Row],[Age]]&lt;30,"Young (&lt;30)",IF(Table1[[#This Row],[Age]]&lt;=50,"Middle Age (30-50)","Older (&gt;50)"))</f>
        <v>Young (&lt;30)</v>
      </c>
      <c r="K412">
        <v>27</v>
      </c>
      <c r="L412">
        <v>0</v>
      </c>
    </row>
    <row r="413" spans="1:12" x14ac:dyDescent="0.3">
      <c r="A413">
        <v>3</v>
      </c>
      <c r="B413" t="str">
        <f>IF(Table1[[#This Row],[Glucose]]&lt;100,"Normal",IF(Table1[[#This Row],[Glucose]]&lt;126,"Prediabetes","High Risk"))</f>
        <v>Prediabetes</v>
      </c>
      <c r="C413">
        <v>103</v>
      </c>
      <c r="D413">
        <v>72</v>
      </c>
      <c r="E413">
        <v>30</v>
      </c>
      <c r="F413">
        <v>152</v>
      </c>
      <c r="G413" t="str">
        <f>IF(Table1[[#This Row],[BMI]]&lt;18.5,"Underweight",IF(Table1[[#This Row],[BMI]]&lt;25,"Normal",IF(Table1[[#This Row],[BMI]]&lt;30,"Overweight","Obese")))</f>
        <v>Overweight</v>
      </c>
      <c r="H413">
        <v>27.6</v>
      </c>
      <c r="I413">
        <v>0.73</v>
      </c>
      <c r="J413" t="str">
        <f>IF(Table1[[#This Row],[Age]]&lt;30,"Young (&lt;30)",IF(Table1[[#This Row],[Age]]&lt;=50,"Middle Age (30-50)","Older (&gt;50)"))</f>
        <v>Young (&lt;30)</v>
      </c>
      <c r="K413">
        <v>27</v>
      </c>
      <c r="L413">
        <v>0</v>
      </c>
    </row>
    <row r="414" spans="1:12" x14ac:dyDescent="0.3">
      <c r="A414">
        <v>3</v>
      </c>
      <c r="B414" t="str">
        <f>IF(Table1[[#This Row],[Glucose]]&lt;100,"Normal",IF(Table1[[#This Row],[Glucose]]&lt;126,"Prediabetes","High Risk"))</f>
        <v>Normal</v>
      </c>
      <c r="C414">
        <v>80</v>
      </c>
      <c r="D414">
        <v>82</v>
      </c>
      <c r="E414">
        <v>31</v>
      </c>
      <c r="F414">
        <v>70</v>
      </c>
      <c r="G414" t="str">
        <f>IF(Table1[[#This Row],[BMI]]&lt;18.5,"Underweight",IF(Table1[[#This Row],[BMI]]&lt;25,"Normal",IF(Table1[[#This Row],[BMI]]&lt;30,"Overweight","Obese")))</f>
        <v>Obese</v>
      </c>
      <c r="H414">
        <v>34.200000000000003</v>
      </c>
      <c r="I414">
        <v>1.292</v>
      </c>
      <c r="J414" t="str">
        <f>IF(Table1[[#This Row],[Age]]&lt;30,"Young (&lt;30)",IF(Table1[[#This Row],[Age]]&lt;=50,"Middle Age (30-50)","Older (&gt;50)"))</f>
        <v>Young (&lt;30)</v>
      </c>
      <c r="K414">
        <v>27</v>
      </c>
      <c r="L414">
        <v>1</v>
      </c>
    </row>
    <row r="415" spans="1:12" x14ac:dyDescent="0.3">
      <c r="A415">
        <v>3</v>
      </c>
      <c r="B415" t="str">
        <f>IF(Table1[[#This Row],[Glucose]]&lt;100,"Normal",IF(Table1[[#This Row],[Glucose]]&lt;126,"Prediabetes","High Risk"))</f>
        <v>Prediabetes</v>
      </c>
      <c r="C415">
        <v>123</v>
      </c>
      <c r="D415">
        <v>100</v>
      </c>
      <c r="E415">
        <v>35</v>
      </c>
      <c r="F415">
        <v>240</v>
      </c>
      <c r="G415" t="str">
        <f>IF(Table1[[#This Row],[BMI]]&lt;18.5,"Underweight",IF(Table1[[#This Row],[BMI]]&lt;25,"Normal",IF(Table1[[#This Row],[BMI]]&lt;30,"Overweight","Obese")))</f>
        <v>Obese</v>
      </c>
      <c r="H415">
        <v>57.3</v>
      </c>
      <c r="I415">
        <v>0.88</v>
      </c>
      <c r="J415" t="str">
        <f>IF(Table1[[#This Row],[Age]]&lt;30,"Young (&lt;30)",IF(Table1[[#This Row],[Age]]&lt;=50,"Middle Age (30-50)","Older (&gt;50)"))</f>
        <v>Young (&lt;30)</v>
      </c>
      <c r="K415">
        <v>22</v>
      </c>
      <c r="L415">
        <v>0</v>
      </c>
    </row>
    <row r="416" spans="1:12" x14ac:dyDescent="0.3">
      <c r="A416">
        <v>3</v>
      </c>
      <c r="B416" t="str">
        <f>IF(Table1[[#This Row],[Glucose]]&lt;100,"Normal",IF(Table1[[#This Row],[Glucose]]&lt;126,"Prediabetes","High Risk"))</f>
        <v>Prediabetes</v>
      </c>
      <c r="C416">
        <v>121</v>
      </c>
      <c r="D416">
        <v>52</v>
      </c>
      <c r="E416">
        <v>0</v>
      </c>
      <c r="F416">
        <v>0</v>
      </c>
      <c r="G416" t="str">
        <f>IF(Table1[[#This Row],[BMI]]&lt;18.5,"Underweight",IF(Table1[[#This Row],[BMI]]&lt;25,"Normal",IF(Table1[[#This Row],[BMI]]&lt;30,"Overweight","Obese")))</f>
        <v>Obese</v>
      </c>
      <c r="H416">
        <v>36</v>
      </c>
      <c r="I416">
        <v>0.127</v>
      </c>
      <c r="J416" t="str">
        <f>IF(Table1[[#This Row],[Age]]&lt;30,"Young (&lt;30)",IF(Table1[[#This Row],[Age]]&lt;=50,"Middle Age (30-50)","Older (&gt;50)"))</f>
        <v>Young (&lt;30)</v>
      </c>
      <c r="K416">
        <v>25</v>
      </c>
      <c r="L416">
        <v>1</v>
      </c>
    </row>
    <row r="417" spans="1:12" x14ac:dyDescent="0.3">
      <c r="A417">
        <v>3</v>
      </c>
      <c r="B417" t="str">
        <f>IF(Table1[[#This Row],[Glucose]]&lt;100,"Normal",IF(Table1[[#This Row],[Glucose]]&lt;126,"Prediabetes","High Risk"))</f>
        <v>High Risk</v>
      </c>
      <c r="C417">
        <v>130</v>
      </c>
      <c r="D417">
        <v>64</v>
      </c>
      <c r="E417">
        <v>0</v>
      </c>
      <c r="F417">
        <v>0</v>
      </c>
      <c r="G417" t="str">
        <f>IF(Table1[[#This Row],[BMI]]&lt;18.5,"Underweight",IF(Table1[[#This Row],[BMI]]&lt;25,"Normal",IF(Table1[[#This Row],[BMI]]&lt;30,"Overweight","Obese")))</f>
        <v>Normal</v>
      </c>
      <c r="H417">
        <v>23.1</v>
      </c>
      <c r="I417">
        <v>0.314</v>
      </c>
      <c r="J417" t="str">
        <f>IF(Table1[[#This Row],[Age]]&lt;30,"Young (&lt;30)",IF(Table1[[#This Row],[Age]]&lt;=50,"Middle Age (30-50)","Older (&gt;50)"))</f>
        <v>Young (&lt;30)</v>
      </c>
      <c r="K417">
        <v>22</v>
      </c>
      <c r="L417">
        <v>0</v>
      </c>
    </row>
    <row r="418" spans="1:12" x14ac:dyDescent="0.3">
      <c r="A418">
        <v>3</v>
      </c>
      <c r="B418" t="str">
        <f>IF(Table1[[#This Row],[Glucose]]&lt;100,"Normal",IF(Table1[[#This Row],[Glucose]]&lt;126,"Prediabetes","High Risk"))</f>
        <v>High Risk</v>
      </c>
      <c r="C418">
        <v>169</v>
      </c>
      <c r="D418">
        <v>74</v>
      </c>
      <c r="E418">
        <v>19</v>
      </c>
      <c r="F418">
        <v>125</v>
      </c>
      <c r="G418" t="str">
        <f>IF(Table1[[#This Row],[BMI]]&lt;18.5,"Underweight",IF(Table1[[#This Row],[BMI]]&lt;25,"Normal",IF(Table1[[#This Row],[BMI]]&lt;30,"Overweight","Obese")))</f>
        <v>Overweight</v>
      </c>
      <c r="H418">
        <v>29.9</v>
      </c>
      <c r="I418">
        <v>0.26800000000000002</v>
      </c>
      <c r="J418" t="str">
        <f>IF(Table1[[#This Row],[Age]]&lt;30,"Young (&lt;30)",IF(Table1[[#This Row],[Age]]&lt;=50,"Middle Age (30-50)","Older (&gt;50)"))</f>
        <v>Middle Age (30-50)</v>
      </c>
      <c r="K418">
        <v>31</v>
      </c>
      <c r="L418">
        <v>1</v>
      </c>
    </row>
    <row r="419" spans="1:12" x14ac:dyDescent="0.3">
      <c r="A419">
        <v>3</v>
      </c>
      <c r="B419" t="str">
        <f>IF(Table1[[#This Row],[Glucose]]&lt;100,"Normal",IF(Table1[[#This Row],[Glucose]]&lt;126,"Prediabetes","High Risk"))</f>
        <v>High Risk</v>
      </c>
      <c r="C419">
        <v>158</v>
      </c>
      <c r="D419">
        <v>64</v>
      </c>
      <c r="E419">
        <v>13</v>
      </c>
      <c r="F419">
        <v>387</v>
      </c>
      <c r="G419" t="str">
        <f>IF(Table1[[#This Row],[BMI]]&lt;18.5,"Underweight",IF(Table1[[#This Row],[BMI]]&lt;25,"Normal",IF(Table1[[#This Row],[BMI]]&lt;30,"Overweight","Obese")))</f>
        <v>Obese</v>
      </c>
      <c r="H419">
        <v>31.2</v>
      </c>
      <c r="I419">
        <v>0.29499999999999998</v>
      </c>
      <c r="J419" t="str">
        <f>IF(Table1[[#This Row],[Age]]&lt;30,"Young (&lt;30)",IF(Table1[[#This Row],[Age]]&lt;=50,"Middle Age (30-50)","Older (&gt;50)"))</f>
        <v>Young (&lt;30)</v>
      </c>
      <c r="K419">
        <v>24</v>
      </c>
      <c r="L419">
        <v>0</v>
      </c>
    </row>
    <row r="420" spans="1:12" x14ac:dyDescent="0.3">
      <c r="A420">
        <v>3</v>
      </c>
      <c r="B420" t="str">
        <f>IF(Table1[[#This Row],[Glucose]]&lt;100,"Normal",IF(Table1[[#This Row],[Glucose]]&lt;126,"Prediabetes","High Risk"))</f>
        <v>Prediabetes</v>
      </c>
      <c r="C420">
        <v>102</v>
      </c>
      <c r="D420">
        <v>74</v>
      </c>
      <c r="E420">
        <v>0</v>
      </c>
      <c r="F420">
        <v>0</v>
      </c>
      <c r="G420" t="str">
        <f>IF(Table1[[#This Row],[BMI]]&lt;18.5,"Underweight",IF(Table1[[#This Row],[BMI]]&lt;25,"Normal",IF(Table1[[#This Row],[BMI]]&lt;30,"Overweight","Obese")))</f>
        <v>Overweight</v>
      </c>
      <c r="H420">
        <v>29.5</v>
      </c>
      <c r="I420">
        <v>0.121</v>
      </c>
      <c r="J420" t="str">
        <f>IF(Table1[[#This Row],[Age]]&lt;30,"Young (&lt;30)",IF(Table1[[#This Row],[Age]]&lt;=50,"Middle Age (30-50)","Older (&gt;50)"))</f>
        <v>Middle Age (30-50)</v>
      </c>
      <c r="K420">
        <v>32</v>
      </c>
      <c r="L420">
        <v>0</v>
      </c>
    </row>
    <row r="421" spans="1:12" x14ac:dyDescent="0.3">
      <c r="A421">
        <v>3</v>
      </c>
      <c r="B421" t="str">
        <f>IF(Table1[[#This Row],[Glucose]]&lt;100,"Normal",IF(Table1[[#This Row],[Glucose]]&lt;126,"Prediabetes","High Risk"))</f>
        <v>High Risk</v>
      </c>
      <c r="C421">
        <v>173</v>
      </c>
      <c r="D421">
        <v>78</v>
      </c>
      <c r="E421">
        <v>39</v>
      </c>
      <c r="F421">
        <v>185</v>
      </c>
      <c r="G421" t="str">
        <f>IF(Table1[[#This Row],[BMI]]&lt;18.5,"Underweight",IF(Table1[[#This Row],[BMI]]&lt;25,"Normal",IF(Table1[[#This Row],[BMI]]&lt;30,"Overweight","Obese")))</f>
        <v>Obese</v>
      </c>
      <c r="H421">
        <v>33.799999999999997</v>
      </c>
      <c r="I421">
        <v>0.97</v>
      </c>
      <c r="J421" t="str">
        <f>IF(Table1[[#This Row],[Age]]&lt;30,"Young (&lt;30)",IF(Table1[[#This Row],[Age]]&lt;=50,"Middle Age (30-50)","Older (&gt;50)"))</f>
        <v>Middle Age (30-50)</v>
      </c>
      <c r="K421">
        <v>31</v>
      </c>
      <c r="L421">
        <v>1</v>
      </c>
    </row>
    <row r="422" spans="1:12" x14ac:dyDescent="0.3">
      <c r="A422">
        <v>3</v>
      </c>
      <c r="B422" t="str">
        <f>IF(Table1[[#This Row],[Glucose]]&lt;100,"Normal",IF(Table1[[#This Row],[Glucose]]&lt;126,"Prediabetes","High Risk"))</f>
        <v>High Risk</v>
      </c>
      <c r="C422">
        <v>130</v>
      </c>
      <c r="D422">
        <v>78</v>
      </c>
      <c r="E422">
        <v>23</v>
      </c>
      <c r="F422">
        <v>79</v>
      </c>
      <c r="G422" t="str">
        <f>IF(Table1[[#This Row],[BMI]]&lt;18.5,"Underweight",IF(Table1[[#This Row],[BMI]]&lt;25,"Normal",IF(Table1[[#This Row],[BMI]]&lt;30,"Overweight","Obese")))</f>
        <v>Overweight</v>
      </c>
      <c r="H422">
        <v>28.4</v>
      </c>
      <c r="I422">
        <v>0.32300000000000001</v>
      </c>
      <c r="J422" t="str">
        <f>IF(Table1[[#This Row],[Age]]&lt;30,"Young (&lt;30)",IF(Table1[[#This Row],[Age]]&lt;=50,"Middle Age (30-50)","Older (&gt;50)"))</f>
        <v>Middle Age (30-50)</v>
      </c>
      <c r="K422">
        <v>34</v>
      </c>
      <c r="L422">
        <v>1</v>
      </c>
    </row>
    <row r="423" spans="1:12" x14ac:dyDescent="0.3">
      <c r="A423">
        <v>3</v>
      </c>
      <c r="B423" t="str">
        <f>IF(Table1[[#This Row],[Glucose]]&lt;100,"Normal",IF(Table1[[#This Row],[Glucose]]&lt;126,"Prediabetes","High Risk"))</f>
        <v>Prediabetes</v>
      </c>
      <c r="C423">
        <v>102</v>
      </c>
      <c r="D423">
        <v>44</v>
      </c>
      <c r="E423">
        <v>20</v>
      </c>
      <c r="F423">
        <v>94</v>
      </c>
      <c r="G423" t="str">
        <f>IF(Table1[[#This Row],[BMI]]&lt;18.5,"Underweight",IF(Table1[[#This Row],[BMI]]&lt;25,"Normal",IF(Table1[[#This Row],[BMI]]&lt;30,"Overweight","Obese")))</f>
        <v>Obese</v>
      </c>
      <c r="H423">
        <v>30.8</v>
      </c>
      <c r="I423">
        <v>0.4</v>
      </c>
      <c r="J423" t="str">
        <f>IF(Table1[[#This Row],[Age]]&lt;30,"Young (&lt;30)",IF(Table1[[#This Row],[Age]]&lt;=50,"Middle Age (30-50)","Older (&gt;50)"))</f>
        <v>Young (&lt;30)</v>
      </c>
      <c r="K423">
        <v>26</v>
      </c>
      <c r="L423">
        <v>0</v>
      </c>
    </row>
    <row r="424" spans="1:12" x14ac:dyDescent="0.3">
      <c r="A424">
        <v>3</v>
      </c>
      <c r="B424" t="str">
        <f>IF(Table1[[#This Row],[Glucose]]&lt;100,"Normal",IF(Table1[[#This Row],[Glucose]]&lt;126,"Prediabetes","High Risk"))</f>
        <v>High Risk</v>
      </c>
      <c r="C424">
        <v>187</v>
      </c>
      <c r="D424">
        <v>70</v>
      </c>
      <c r="E424">
        <v>22</v>
      </c>
      <c r="F424">
        <v>200</v>
      </c>
      <c r="G424" t="str">
        <f>IF(Table1[[#This Row],[BMI]]&lt;18.5,"Underweight",IF(Table1[[#This Row],[BMI]]&lt;25,"Normal",IF(Table1[[#This Row],[BMI]]&lt;30,"Overweight","Obese")))</f>
        <v>Obese</v>
      </c>
      <c r="H424">
        <v>36.4</v>
      </c>
      <c r="I424">
        <v>0.40799999999999997</v>
      </c>
      <c r="J424" t="str">
        <f>IF(Table1[[#This Row],[Age]]&lt;30,"Young (&lt;30)",IF(Table1[[#This Row],[Age]]&lt;=50,"Middle Age (30-50)","Older (&gt;50)"))</f>
        <v>Middle Age (30-50)</v>
      </c>
      <c r="K424">
        <v>36</v>
      </c>
      <c r="L424">
        <v>1</v>
      </c>
    </row>
    <row r="425" spans="1:12" x14ac:dyDescent="0.3">
      <c r="A425">
        <v>3</v>
      </c>
      <c r="B425" t="str">
        <f>IF(Table1[[#This Row],[Glucose]]&lt;100,"Normal",IF(Table1[[#This Row],[Glucose]]&lt;126,"Prediabetes","High Risk"))</f>
        <v>Prediabetes</v>
      </c>
      <c r="C425">
        <v>108</v>
      </c>
      <c r="D425">
        <v>62</v>
      </c>
      <c r="E425">
        <v>24</v>
      </c>
      <c r="F425">
        <v>0</v>
      </c>
      <c r="G425" t="str">
        <f>IF(Table1[[#This Row],[BMI]]&lt;18.5,"Underweight",IF(Table1[[#This Row],[BMI]]&lt;25,"Normal",IF(Table1[[#This Row],[BMI]]&lt;30,"Overweight","Obese")))</f>
        <v>Overweight</v>
      </c>
      <c r="H425">
        <v>26</v>
      </c>
      <c r="I425">
        <v>0.223</v>
      </c>
      <c r="J425" t="str">
        <f>IF(Table1[[#This Row],[Age]]&lt;30,"Young (&lt;30)",IF(Table1[[#This Row],[Age]]&lt;=50,"Middle Age (30-50)","Older (&gt;50)"))</f>
        <v>Young (&lt;30)</v>
      </c>
      <c r="K425">
        <v>25</v>
      </c>
      <c r="L425">
        <v>0</v>
      </c>
    </row>
    <row r="426" spans="1:12" x14ac:dyDescent="0.3">
      <c r="A426">
        <v>4</v>
      </c>
      <c r="B426" t="str">
        <f>IF(Table1[[#This Row],[Glucose]]&lt;100,"Normal",IF(Table1[[#This Row],[Glucose]]&lt;126,"Prediabetes","High Risk"))</f>
        <v>Prediabetes</v>
      </c>
      <c r="C426">
        <v>110</v>
      </c>
      <c r="D426">
        <v>92</v>
      </c>
      <c r="E426">
        <v>0</v>
      </c>
      <c r="F426">
        <v>0</v>
      </c>
      <c r="G426" t="str">
        <f>IF(Table1[[#This Row],[BMI]]&lt;18.5,"Underweight",IF(Table1[[#This Row],[BMI]]&lt;25,"Normal",IF(Table1[[#This Row],[BMI]]&lt;30,"Overweight","Obese")))</f>
        <v>Obese</v>
      </c>
      <c r="H426">
        <v>37.6</v>
      </c>
      <c r="I426">
        <v>0.191</v>
      </c>
      <c r="J426" t="str">
        <f>IF(Table1[[#This Row],[Age]]&lt;30,"Young (&lt;30)",IF(Table1[[#This Row],[Age]]&lt;=50,"Middle Age (30-50)","Older (&gt;50)"))</f>
        <v>Middle Age (30-50)</v>
      </c>
      <c r="K426">
        <v>30</v>
      </c>
      <c r="L426">
        <v>0</v>
      </c>
    </row>
    <row r="427" spans="1:12" x14ac:dyDescent="0.3">
      <c r="A427">
        <v>4</v>
      </c>
      <c r="B427" t="str">
        <f>IF(Table1[[#This Row],[Glucose]]&lt;100,"Normal",IF(Table1[[#This Row],[Glucose]]&lt;126,"Prediabetes","High Risk"))</f>
        <v>Prediabetes</v>
      </c>
      <c r="C427">
        <v>103</v>
      </c>
      <c r="D427">
        <v>60</v>
      </c>
      <c r="E427">
        <v>33</v>
      </c>
      <c r="F427">
        <v>192</v>
      </c>
      <c r="G427" t="str">
        <f>IF(Table1[[#This Row],[BMI]]&lt;18.5,"Underweight",IF(Table1[[#This Row],[BMI]]&lt;25,"Normal",IF(Table1[[#This Row],[BMI]]&lt;30,"Overweight","Obese")))</f>
        <v>Normal</v>
      </c>
      <c r="H427">
        <v>24</v>
      </c>
      <c r="I427">
        <v>0.96599999999999997</v>
      </c>
      <c r="J427" t="str">
        <f>IF(Table1[[#This Row],[Age]]&lt;30,"Young (&lt;30)",IF(Table1[[#This Row],[Age]]&lt;=50,"Middle Age (30-50)","Older (&gt;50)"))</f>
        <v>Middle Age (30-50)</v>
      </c>
      <c r="K427">
        <v>33</v>
      </c>
      <c r="L427">
        <v>0</v>
      </c>
    </row>
    <row r="428" spans="1:12" x14ac:dyDescent="0.3">
      <c r="A428">
        <v>4</v>
      </c>
      <c r="B428" t="str">
        <f>IF(Table1[[#This Row],[Glucose]]&lt;100,"Normal",IF(Table1[[#This Row],[Glucose]]&lt;126,"Prediabetes","High Risk"))</f>
        <v>Prediabetes</v>
      </c>
      <c r="C428">
        <v>111</v>
      </c>
      <c r="D428">
        <v>72</v>
      </c>
      <c r="E428">
        <v>47</v>
      </c>
      <c r="F428">
        <v>207</v>
      </c>
      <c r="G428" t="str">
        <f>IF(Table1[[#This Row],[BMI]]&lt;18.5,"Underweight",IF(Table1[[#This Row],[BMI]]&lt;25,"Normal",IF(Table1[[#This Row],[BMI]]&lt;30,"Overweight","Obese")))</f>
        <v>Obese</v>
      </c>
      <c r="H428">
        <v>37.1</v>
      </c>
      <c r="I428">
        <v>1.39</v>
      </c>
      <c r="J428" t="str">
        <f>IF(Table1[[#This Row],[Age]]&lt;30,"Young (&lt;30)",IF(Table1[[#This Row],[Age]]&lt;=50,"Middle Age (30-50)","Older (&gt;50)"))</f>
        <v>Older (&gt;50)</v>
      </c>
      <c r="K428">
        <v>56</v>
      </c>
      <c r="L428">
        <v>1</v>
      </c>
    </row>
    <row r="429" spans="1:12" x14ac:dyDescent="0.3">
      <c r="A429">
        <v>4</v>
      </c>
      <c r="B429" t="str">
        <f>IF(Table1[[#This Row],[Glucose]]&lt;100,"Normal",IF(Table1[[#This Row],[Glucose]]&lt;126,"Prediabetes","High Risk"))</f>
        <v>High Risk</v>
      </c>
      <c r="C429">
        <v>146</v>
      </c>
      <c r="D429">
        <v>85</v>
      </c>
      <c r="E429">
        <v>27</v>
      </c>
      <c r="F429">
        <v>100</v>
      </c>
      <c r="G429" t="str">
        <f>IF(Table1[[#This Row],[BMI]]&lt;18.5,"Underweight",IF(Table1[[#This Row],[BMI]]&lt;25,"Normal",IF(Table1[[#This Row],[BMI]]&lt;30,"Overweight","Obese")))</f>
        <v>Overweight</v>
      </c>
      <c r="H429">
        <v>28.9</v>
      </c>
      <c r="I429">
        <v>0.189</v>
      </c>
      <c r="J429" t="str">
        <f>IF(Table1[[#This Row],[Age]]&lt;30,"Young (&lt;30)",IF(Table1[[#This Row],[Age]]&lt;=50,"Middle Age (30-50)","Older (&gt;50)"))</f>
        <v>Young (&lt;30)</v>
      </c>
      <c r="K429">
        <v>27</v>
      </c>
      <c r="L429">
        <v>0</v>
      </c>
    </row>
    <row r="430" spans="1:12" x14ac:dyDescent="0.3">
      <c r="A430">
        <v>4</v>
      </c>
      <c r="B430" t="str">
        <f>IF(Table1[[#This Row],[Glucose]]&lt;100,"Normal",IF(Table1[[#This Row],[Glucose]]&lt;126,"Prediabetes","High Risk"))</f>
        <v>High Risk</v>
      </c>
      <c r="C430">
        <v>129</v>
      </c>
      <c r="D430">
        <v>86</v>
      </c>
      <c r="E430">
        <v>20</v>
      </c>
      <c r="F430">
        <v>270</v>
      </c>
      <c r="G430" t="str">
        <f>IF(Table1[[#This Row],[BMI]]&lt;18.5,"Underweight",IF(Table1[[#This Row],[BMI]]&lt;25,"Normal",IF(Table1[[#This Row],[BMI]]&lt;30,"Overweight","Obese")))</f>
        <v>Obese</v>
      </c>
      <c r="H430">
        <v>35.1</v>
      </c>
      <c r="I430">
        <v>0.23100000000000001</v>
      </c>
      <c r="J430" t="str">
        <f>IF(Table1[[#This Row],[Age]]&lt;30,"Young (&lt;30)",IF(Table1[[#This Row],[Age]]&lt;=50,"Middle Age (30-50)","Older (&gt;50)"))</f>
        <v>Young (&lt;30)</v>
      </c>
      <c r="K430">
        <v>23</v>
      </c>
      <c r="L430">
        <v>0</v>
      </c>
    </row>
    <row r="431" spans="1:12" x14ac:dyDescent="0.3">
      <c r="A431">
        <v>4</v>
      </c>
      <c r="B431" t="str">
        <f>IF(Table1[[#This Row],[Glucose]]&lt;100,"Normal",IF(Table1[[#This Row],[Glucose]]&lt;126,"Prediabetes","High Risk"))</f>
        <v>Prediabetes</v>
      </c>
      <c r="C431">
        <v>123</v>
      </c>
      <c r="D431">
        <v>80</v>
      </c>
      <c r="E431">
        <v>15</v>
      </c>
      <c r="F431">
        <v>176</v>
      </c>
      <c r="G431" t="str">
        <f>IF(Table1[[#This Row],[BMI]]&lt;18.5,"Underweight",IF(Table1[[#This Row],[BMI]]&lt;25,"Normal",IF(Table1[[#This Row],[BMI]]&lt;30,"Overweight","Obese")))</f>
        <v>Obese</v>
      </c>
      <c r="H431">
        <v>32</v>
      </c>
      <c r="I431">
        <v>0.443</v>
      </c>
      <c r="J431" t="str">
        <f>IF(Table1[[#This Row],[Age]]&lt;30,"Young (&lt;30)",IF(Table1[[#This Row],[Age]]&lt;=50,"Middle Age (30-50)","Older (&gt;50)"))</f>
        <v>Middle Age (30-50)</v>
      </c>
      <c r="K431">
        <v>34</v>
      </c>
      <c r="L431">
        <v>0</v>
      </c>
    </row>
    <row r="432" spans="1:12" x14ac:dyDescent="0.3">
      <c r="A432">
        <v>4</v>
      </c>
      <c r="B432" t="str">
        <f>IF(Table1[[#This Row],[Glucose]]&lt;100,"Normal",IF(Table1[[#This Row],[Glucose]]&lt;126,"Prediabetes","High Risk"))</f>
        <v>High Risk</v>
      </c>
      <c r="C432">
        <v>134</v>
      </c>
      <c r="D432">
        <v>72</v>
      </c>
      <c r="E432">
        <v>0</v>
      </c>
      <c r="F432">
        <v>0</v>
      </c>
      <c r="G432" t="str">
        <f>IF(Table1[[#This Row],[BMI]]&lt;18.5,"Underweight",IF(Table1[[#This Row],[BMI]]&lt;25,"Normal",IF(Table1[[#This Row],[BMI]]&lt;30,"Overweight","Obese")))</f>
        <v>Normal</v>
      </c>
      <c r="H432">
        <v>23.8</v>
      </c>
      <c r="I432">
        <v>0.27700000000000002</v>
      </c>
      <c r="J432" t="str">
        <f>IF(Table1[[#This Row],[Age]]&lt;30,"Young (&lt;30)",IF(Table1[[#This Row],[Age]]&lt;=50,"Middle Age (30-50)","Older (&gt;50)"))</f>
        <v>Older (&gt;50)</v>
      </c>
      <c r="K432">
        <v>60</v>
      </c>
      <c r="L432">
        <v>1</v>
      </c>
    </row>
    <row r="433" spans="1:12" x14ac:dyDescent="0.3">
      <c r="A433">
        <v>4</v>
      </c>
      <c r="B433" t="str">
        <f>IF(Table1[[#This Row],[Glucose]]&lt;100,"Normal",IF(Table1[[#This Row],[Glucose]]&lt;126,"Prediabetes","High Risk"))</f>
        <v>High Risk</v>
      </c>
      <c r="C433">
        <v>144</v>
      </c>
      <c r="D433">
        <v>58</v>
      </c>
      <c r="E433">
        <v>28</v>
      </c>
      <c r="F433">
        <v>140</v>
      </c>
      <c r="G433" t="str">
        <f>IF(Table1[[#This Row],[BMI]]&lt;18.5,"Underweight",IF(Table1[[#This Row],[BMI]]&lt;25,"Normal",IF(Table1[[#This Row],[BMI]]&lt;30,"Overweight","Obese")))</f>
        <v>Overweight</v>
      </c>
      <c r="H433">
        <v>29.5</v>
      </c>
      <c r="I433">
        <v>0.28699999999999998</v>
      </c>
      <c r="J433" t="str">
        <f>IF(Table1[[#This Row],[Age]]&lt;30,"Young (&lt;30)",IF(Table1[[#This Row],[Age]]&lt;=50,"Middle Age (30-50)","Older (&gt;50)"))</f>
        <v>Middle Age (30-50)</v>
      </c>
      <c r="K433">
        <v>37</v>
      </c>
      <c r="L433">
        <v>0</v>
      </c>
    </row>
    <row r="434" spans="1:12" x14ac:dyDescent="0.3">
      <c r="A434">
        <v>4</v>
      </c>
      <c r="B434" t="str">
        <f>IF(Table1[[#This Row],[Glucose]]&lt;100,"Normal",IF(Table1[[#This Row],[Glucose]]&lt;126,"Prediabetes","High Risk"))</f>
        <v>Normal</v>
      </c>
      <c r="C434">
        <v>76</v>
      </c>
      <c r="D434">
        <v>62</v>
      </c>
      <c r="E434">
        <v>0</v>
      </c>
      <c r="F434">
        <v>0</v>
      </c>
      <c r="G434" t="str">
        <f>IF(Table1[[#This Row],[BMI]]&lt;18.5,"Underweight",IF(Table1[[#This Row],[BMI]]&lt;25,"Normal",IF(Table1[[#This Row],[BMI]]&lt;30,"Overweight","Obese")))</f>
        <v>Obese</v>
      </c>
      <c r="H434">
        <v>34</v>
      </c>
      <c r="I434">
        <v>0.39100000000000001</v>
      </c>
      <c r="J434" t="str">
        <f>IF(Table1[[#This Row],[Age]]&lt;30,"Young (&lt;30)",IF(Table1[[#This Row],[Age]]&lt;=50,"Middle Age (30-50)","Older (&gt;50)"))</f>
        <v>Young (&lt;30)</v>
      </c>
      <c r="K434">
        <v>25</v>
      </c>
      <c r="L434">
        <v>0</v>
      </c>
    </row>
    <row r="435" spans="1:12" x14ac:dyDescent="0.3">
      <c r="A435">
        <v>4</v>
      </c>
      <c r="B435" t="str">
        <f>IF(Table1[[#This Row],[Glucose]]&lt;100,"Normal",IF(Table1[[#This Row],[Glucose]]&lt;126,"Prediabetes","High Risk"))</f>
        <v>High Risk</v>
      </c>
      <c r="C435">
        <v>146</v>
      </c>
      <c r="D435">
        <v>92</v>
      </c>
      <c r="E435">
        <v>0</v>
      </c>
      <c r="F435">
        <v>0</v>
      </c>
      <c r="G435" t="str">
        <f>IF(Table1[[#This Row],[BMI]]&lt;18.5,"Underweight",IF(Table1[[#This Row],[BMI]]&lt;25,"Normal",IF(Table1[[#This Row],[BMI]]&lt;30,"Overweight","Obese")))</f>
        <v>Obese</v>
      </c>
      <c r="H435">
        <v>31.2</v>
      </c>
      <c r="I435">
        <v>0.53900000000000003</v>
      </c>
      <c r="J435" t="str">
        <f>IF(Table1[[#This Row],[Age]]&lt;30,"Young (&lt;30)",IF(Table1[[#This Row],[Age]]&lt;=50,"Middle Age (30-50)","Older (&gt;50)"))</f>
        <v>Older (&gt;50)</v>
      </c>
      <c r="K435">
        <v>61</v>
      </c>
      <c r="L435">
        <v>1</v>
      </c>
    </row>
    <row r="436" spans="1:12" x14ac:dyDescent="0.3">
      <c r="A436">
        <v>4</v>
      </c>
      <c r="B436" t="str">
        <f>IF(Table1[[#This Row],[Glucose]]&lt;100,"Normal",IF(Table1[[#This Row],[Glucose]]&lt;126,"Prediabetes","High Risk"))</f>
        <v>Normal</v>
      </c>
      <c r="C436">
        <v>97</v>
      </c>
      <c r="D436">
        <v>60</v>
      </c>
      <c r="E436">
        <v>23</v>
      </c>
      <c r="F436">
        <v>0</v>
      </c>
      <c r="G436" t="str">
        <f>IF(Table1[[#This Row],[BMI]]&lt;18.5,"Underweight",IF(Table1[[#This Row],[BMI]]&lt;25,"Normal",IF(Table1[[#This Row],[BMI]]&lt;30,"Overweight","Obese")))</f>
        <v>Overweight</v>
      </c>
      <c r="H436">
        <v>28.2</v>
      </c>
      <c r="I436">
        <v>0.443</v>
      </c>
      <c r="J436" t="str">
        <f>IF(Table1[[#This Row],[Age]]&lt;30,"Young (&lt;30)",IF(Table1[[#This Row],[Age]]&lt;=50,"Middle Age (30-50)","Older (&gt;50)"))</f>
        <v>Young (&lt;30)</v>
      </c>
      <c r="K436">
        <v>22</v>
      </c>
      <c r="L436">
        <v>0</v>
      </c>
    </row>
    <row r="437" spans="1:12" x14ac:dyDescent="0.3">
      <c r="A437">
        <v>4</v>
      </c>
      <c r="B437" t="str">
        <f>IF(Table1[[#This Row],[Glucose]]&lt;100,"Normal",IF(Table1[[#This Row],[Glucose]]&lt;126,"Prediabetes","High Risk"))</f>
        <v>Normal</v>
      </c>
      <c r="C437">
        <v>99</v>
      </c>
      <c r="D437">
        <v>76</v>
      </c>
      <c r="E437">
        <v>15</v>
      </c>
      <c r="F437">
        <v>51</v>
      </c>
      <c r="G437" t="str">
        <f>IF(Table1[[#This Row],[BMI]]&lt;18.5,"Underweight",IF(Table1[[#This Row],[BMI]]&lt;25,"Normal",IF(Table1[[#This Row],[BMI]]&lt;30,"Overweight","Obese")))</f>
        <v>Normal</v>
      </c>
      <c r="H437">
        <v>23.2</v>
      </c>
      <c r="I437">
        <v>0.223</v>
      </c>
      <c r="J437" t="str">
        <f>IF(Table1[[#This Row],[Age]]&lt;30,"Young (&lt;30)",IF(Table1[[#This Row],[Age]]&lt;=50,"Middle Age (30-50)","Older (&gt;50)"))</f>
        <v>Young (&lt;30)</v>
      </c>
      <c r="K437">
        <v>21</v>
      </c>
      <c r="L437">
        <v>0</v>
      </c>
    </row>
    <row r="438" spans="1:12" x14ac:dyDescent="0.3">
      <c r="A438">
        <v>4</v>
      </c>
      <c r="B438" t="str">
        <f>IF(Table1[[#This Row],[Glucose]]&lt;100,"Normal",IF(Table1[[#This Row],[Glucose]]&lt;126,"Prediabetes","High Risk"))</f>
        <v>High Risk</v>
      </c>
      <c r="C438">
        <v>173</v>
      </c>
      <c r="D438">
        <v>70</v>
      </c>
      <c r="E438">
        <v>14</v>
      </c>
      <c r="F438">
        <v>168</v>
      </c>
      <c r="G438" t="str">
        <f>IF(Table1[[#This Row],[BMI]]&lt;18.5,"Underweight",IF(Table1[[#This Row],[BMI]]&lt;25,"Normal",IF(Table1[[#This Row],[BMI]]&lt;30,"Overweight","Obese")))</f>
        <v>Overweight</v>
      </c>
      <c r="H438">
        <v>29.7</v>
      </c>
      <c r="I438">
        <v>0.36099999999999999</v>
      </c>
      <c r="J438" t="str">
        <f>IF(Table1[[#This Row],[Age]]&lt;30,"Young (&lt;30)",IF(Table1[[#This Row],[Age]]&lt;=50,"Middle Age (30-50)","Older (&gt;50)"))</f>
        <v>Middle Age (30-50)</v>
      </c>
      <c r="K438">
        <v>33</v>
      </c>
      <c r="L438">
        <v>1</v>
      </c>
    </row>
    <row r="439" spans="1:12" x14ac:dyDescent="0.3">
      <c r="A439">
        <v>4</v>
      </c>
      <c r="B439" t="str">
        <f>IF(Table1[[#This Row],[Glucose]]&lt;100,"Normal",IF(Table1[[#This Row],[Glucose]]&lt;126,"Prediabetes","High Risk"))</f>
        <v>High Risk</v>
      </c>
      <c r="C439">
        <v>154</v>
      </c>
      <c r="D439">
        <v>62</v>
      </c>
      <c r="E439">
        <v>31</v>
      </c>
      <c r="F439">
        <v>284</v>
      </c>
      <c r="G439" t="str">
        <f>IF(Table1[[#This Row],[BMI]]&lt;18.5,"Underweight",IF(Table1[[#This Row],[BMI]]&lt;25,"Normal",IF(Table1[[#This Row],[BMI]]&lt;30,"Overweight","Obese")))</f>
        <v>Obese</v>
      </c>
      <c r="H439">
        <v>32.799999999999997</v>
      </c>
      <c r="I439">
        <v>0.23699999999999999</v>
      </c>
      <c r="J439" t="str">
        <f>IF(Table1[[#This Row],[Age]]&lt;30,"Young (&lt;30)",IF(Table1[[#This Row],[Age]]&lt;=50,"Middle Age (30-50)","Older (&gt;50)"))</f>
        <v>Young (&lt;30)</v>
      </c>
      <c r="K439">
        <v>23</v>
      </c>
      <c r="L439">
        <v>0</v>
      </c>
    </row>
    <row r="440" spans="1:12" x14ac:dyDescent="0.3">
      <c r="A440">
        <v>4</v>
      </c>
      <c r="B440" t="str">
        <f>IF(Table1[[#This Row],[Glucose]]&lt;100,"Normal",IF(Table1[[#This Row],[Glucose]]&lt;126,"Prediabetes","High Risk"))</f>
        <v>Prediabetes</v>
      </c>
      <c r="C440">
        <v>114</v>
      </c>
      <c r="D440">
        <v>65</v>
      </c>
      <c r="E440">
        <v>0</v>
      </c>
      <c r="F440">
        <v>0</v>
      </c>
      <c r="G440" t="str">
        <f>IF(Table1[[#This Row],[BMI]]&lt;18.5,"Underweight",IF(Table1[[#This Row],[BMI]]&lt;25,"Normal",IF(Table1[[#This Row],[BMI]]&lt;30,"Overweight","Obese")))</f>
        <v>Normal</v>
      </c>
      <c r="H440">
        <v>21.9</v>
      </c>
      <c r="I440">
        <v>0.432</v>
      </c>
      <c r="J440" t="str">
        <f>IF(Table1[[#This Row],[Age]]&lt;30,"Young (&lt;30)",IF(Table1[[#This Row],[Age]]&lt;=50,"Middle Age (30-50)","Older (&gt;50)"))</f>
        <v>Middle Age (30-50)</v>
      </c>
      <c r="K440">
        <v>37</v>
      </c>
      <c r="L440">
        <v>0</v>
      </c>
    </row>
    <row r="441" spans="1:12" x14ac:dyDescent="0.3">
      <c r="A441">
        <v>4</v>
      </c>
      <c r="B441" t="str">
        <f>IF(Table1[[#This Row],[Glucose]]&lt;100,"Normal",IF(Table1[[#This Row],[Glucose]]&lt;126,"Prediabetes","High Risk"))</f>
        <v>High Risk</v>
      </c>
      <c r="C441">
        <v>151</v>
      </c>
      <c r="D441">
        <v>90</v>
      </c>
      <c r="E441">
        <v>38</v>
      </c>
      <c r="F441">
        <v>0</v>
      </c>
      <c r="G441" t="str">
        <f>IF(Table1[[#This Row],[BMI]]&lt;18.5,"Underweight",IF(Table1[[#This Row],[BMI]]&lt;25,"Normal",IF(Table1[[#This Row],[BMI]]&lt;30,"Overweight","Obese")))</f>
        <v>Overweight</v>
      </c>
      <c r="H441">
        <v>29.7</v>
      </c>
      <c r="I441">
        <v>0.29399999999999998</v>
      </c>
      <c r="J441" t="str">
        <f>IF(Table1[[#This Row],[Age]]&lt;30,"Young (&lt;30)",IF(Table1[[#This Row],[Age]]&lt;=50,"Middle Age (30-50)","Older (&gt;50)"))</f>
        <v>Middle Age (30-50)</v>
      </c>
      <c r="K441">
        <v>36</v>
      </c>
      <c r="L441">
        <v>0</v>
      </c>
    </row>
    <row r="442" spans="1:12" x14ac:dyDescent="0.3">
      <c r="A442">
        <v>4</v>
      </c>
      <c r="B442" t="str">
        <f>IF(Table1[[#This Row],[Glucose]]&lt;100,"Normal",IF(Table1[[#This Row],[Glucose]]&lt;126,"Prediabetes","High Risk"))</f>
        <v>Prediabetes</v>
      </c>
      <c r="C442">
        <v>120</v>
      </c>
      <c r="D442">
        <v>68</v>
      </c>
      <c r="E442">
        <v>0</v>
      </c>
      <c r="F442">
        <v>0</v>
      </c>
      <c r="G442" t="str">
        <f>IF(Table1[[#This Row],[BMI]]&lt;18.5,"Underweight",IF(Table1[[#This Row],[BMI]]&lt;25,"Normal",IF(Table1[[#This Row],[BMI]]&lt;30,"Overweight","Obese")))</f>
        <v>Overweight</v>
      </c>
      <c r="H442">
        <v>29.6</v>
      </c>
      <c r="I442">
        <v>0.70899999999999996</v>
      </c>
      <c r="J442" t="str">
        <f>IF(Table1[[#This Row],[Age]]&lt;30,"Young (&lt;30)",IF(Table1[[#This Row],[Age]]&lt;=50,"Middle Age (30-50)","Older (&gt;50)"))</f>
        <v>Middle Age (30-50)</v>
      </c>
      <c r="K442">
        <v>34</v>
      </c>
      <c r="L442">
        <v>0</v>
      </c>
    </row>
    <row r="443" spans="1:12" x14ac:dyDescent="0.3">
      <c r="A443">
        <v>4</v>
      </c>
      <c r="B443" t="str">
        <f>IF(Table1[[#This Row],[Glucose]]&lt;100,"Normal",IF(Table1[[#This Row],[Glucose]]&lt;126,"Prediabetes","High Risk"))</f>
        <v>Prediabetes</v>
      </c>
      <c r="C443">
        <v>110</v>
      </c>
      <c r="D443">
        <v>66</v>
      </c>
      <c r="E443">
        <v>0</v>
      </c>
      <c r="F443">
        <v>0</v>
      </c>
      <c r="G443" t="str">
        <f>IF(Table1[[#This Row],[BMI]]&lt;18.5,"Underweight",IF(Table1[[#This Row],[BMI]]&lt;25,"Normal",IF(Table1[[#This Row],[BMI]]&lt;30,"Overweight","Obese")))</f>
        <v>Obese</v>
      </c>
      <c r="H443">
        <v>31.9</v>
      </c>
      <c r="I443">
        <v>0.47099999999999997</v>
      </c>
      <c r="J443" t="str">
        <f>IF(Table1[[#This Row],[Age]]&lt;30,"Young (&lt;30)",IF(Table1[[#This Row],[Age]]&lt;=50,"Middle Age (30-50)","Older (&gt;50)"))</f>
        <v>Young (&lt;30)</v>
      </c>
      <c r="K443">
        <v>29</v>
      </c>
      <c r="L443">
        <v>0</v>
      </c>
    </row>
    <row r="444" spans="1:12" x14ac:dyDescent="0.3">
      <c r="A444">
        <v>4</v>
      </c>
      <c r="B444" t="str">
        <f>IF(Table1[[#This Row],[Glucose]]&lt;100,"Normal",IF(Table1[[#This Row],[Glucose]]&lt;126,"Prediabetes","High Risk"))</f>
        <v>High Risk</v>
      </c>
      <c r="C444">
        <v>141</v>
      </c>
      <c r="D444">
        <v>74</v>
      </c>
      <c r="E444">
        <v>0</v>
      </c>
      <c r="F444">
        <v>0</v>
      </c>
      <c r="G444" t="str">
        <f>IF(Table1[[#This Row],[BMI]]&lt;18.5,"Underweight",IF(Table1[[#This Row],[BMI]]&lt;25,"Normal",IF(Table1[[#This Row],[BMI]]&lt;30,"Overweight","Obese")))</f>
        <v>Overweight</v>
      </c>
      <c r="H444">
        <v>27.6</v>
      </c>
      <c r="I444">
        <v>0.24399999999999999</v>
      </c>
      <c r="J444" t="str">
        <f>IF(Table1[[#This Row],[Age]]&lt;30,"Young (&lt;30)",IF(Table1[[#This Row],[Age]]&lt;=50,"Middle Age (30-50)","Older (&gt;50)"))</f>
        <v>Middle Age (30-50)</v>
      </c>
      <c r="K444">
        <v>40</v>
      </c>
      <c r="L444">
        <v>0</v>
      </c>
    </row>
    <row r="445" spans="1:12" x14ac:dyDescent="0.3">
      <c r="A445">
        <v>4</v>
      </c>
      <c r="B445" t="str">
        <f>IF(Table1[[#This Row],[Glucose]]&lt;100,"Normal",IF(Table1[[#This Row],[Glucose]]&lt;126,"Prediabetes","High Risk"))</f>
        <v>Prediabetes</v>
      </c>
      <c r="C445">
        <v>109</v>
      </c>
      <c r="D445">
        <v>64</v>
      </c>
      <c r="E445">
        <v>44</v>
      </c>
      <c r="F445">
        <v>99</v>
      </c>
      <c r="G445" t="str">
        <f>IF(Table1[[#This Row],[BMI]]&lt;18.5,"Underweight",IF(Table1[[#This Row],[BMI]]&lt;25,"Normal",IF(Table1[[#This Row],[BMI]]&lt;30,"Overweight","Obese")))</f>
        <v>Obese</v>
      </c>
      <c r="H445">
        <v>34.799999999999997</v>
      </c>
      <c r="I445">
        <v>0.90500000000000003</v>
      </c>
      <c r="J445" t="str">
        <f>IF(Table1[[#This Row],[Age]]&lt;30,"Young (&lt;30)",IF(Table1[[#This Row],[Age]]&lt;=50,"Middle Age (30-50)","Older (&gt;50)"))</f>
        <v>Young (&lt;30)</v>
      </c>
      <c r="K445">
        <v>26</v>
      </c>
      <c r="L445">
        <v>1</v>
      </c>
    </row>
    <row r="446" spans="1:12" x14ac:dyDescent="0.3">
      <c r="A446">
        <v>4</v>
      </c>
      <c r="B446" t="str">
        <f>IF(Table1[[#This Row],[Glucose]]&lt;100,"Normal",IF(Table1[[#This Row],[Glucose]]&lt;126,"Prediabetes","High Risk"))</f>
        <v>High Risk</v>
      </c>
      <c r="C446">
        <v>148</v>
      </c>
      <c r="D446">
        <v>60</v>
      </c>
      <c r="E446">
        <v>27</v>
      </c>
      <c r="F446">
        <v>318</v>
      </c>
      <c r="G446" t="str">
        <f>IF(Table1[[#This Row],[BMI]]&lt;18.5,"Underweight",IF(Table1[[#This Row],[BMI]]&lt;25,"Normal",IF(Table1[[#This Row],[BMI]]&lt;30,"Overweight","Obese")))</f>
        <v>Obese</v>
      </c>
      <c r="H446">
        <v>30.9</v>
      </c>
      <c r="I446">
        <v>0.15</v>
      </c>
      <c r="J446" t="str">
        <f>IF(Table1[[#This Row],[Age]]&lt;30,"Young (&lt;30)",IF(Table1[[#This Row],[Age]]&lt;=50,"Middle Age (30-50)","Older (&gt;50)"))</f>
        <v>Young (&lt;30)</v>
      </c>
      <c r="K446">
        <v>29</v>
      </c>
      <c r="L446">
        <v>1</v>
      </c>
    </row>
    <row r="447" spans="1:12" x14ac:dyDescent="0.3">
      <c r="A447">
        <v>4</v>
      </c>
      <c r="B447" t="str">
        <f>IF(Table1[[#This Row],[Glucose]]&lt;100,"Normal",IF(Table1[[#This Row],[Glucose]]&lt;126,"Prediabetes","High Risk"))</f>
        <v>High Risk</v>
      </c>
      <c r="C447">
        <v>197</v>
      </c>
      <c r="D447">
        <v>70</v>
      </c>
      <c r="E447">
        <v>39</v>
      </c>
      <c r="F447">
        <v>744</v>
      </c>
      <c r="G447" t="str">
        <f>IF(Table1[[#This Row],[BMI]]&lt;18.5,"Underweight",IF(Table1[[#This Row],[BMI]]&lt;25,"Normal",IF(Table1[[#This Row],[BMI]]&lt;30,"Overweight","Obese")))</f>
        <v>Obese</v>
      </c>
      <c r="H447">
        <v>36.700000000000003</v>
      </c>
      <c r="I447">
        <v>2.3290000000000002</v>
      </c>
      <c r="J447" t="str">
        <f>IF(Table1[[#This Row],[Age]]&lt;30,"Young (&lt;30)",IF(Table1[[#This Row],[Age]]&lt;=50,"Middle Age (30-50)","Older (&gt;50)"))</f>
        <v>Middle Age (30-50)</v>
      </c>
      <c r="K447">
        <v>31</v>
      </c>
      <c r="L447">
        <v>0</v>
      </c>
    </row>
    <row r="448" spans="1:12" x14ac:dyDescent="0.3">
      <c r="A448">
        <v>4</v>
      </c>
      <c r="B448" t="str">
        <f>IF(Table1[[#This Row],[Glucose]]&lt;100,"Normal",IF(Table1[[#This Row],[Glucose]]&lt;126,"Prediabetes","High Risk"))</f>
        <v>High Risk</v>
      </c>
      <c r="C448">
        <v>142</v>
      </c>
      <c r="D448">
        <v>86</v>
      </c>
      <c r="E448">
        <v>0</v>
      </c>
      <c r="F448">
        <v>0</v>
      </c>
      <c r="G448" t="str">
        <f>IF(Table1[[#This Row],[BMI]]&lt;18.5,"Underweight",IF(Table1[[#This Row],[BMI]]&lt;25,"Normal",IF(Table1[[#This Row],[BMI]]&lt;30,"Overweight","Obese")))</f>
        <v>Obese</v>
      </c>
      <c r="H448">
        <v>44</v>
      </c>
      <c r="I448">
        <v>0.64500000000000002</v>
      </c>
      <c r="J448" t="str">
        <f>IF(Table1[[#This Row],[Age]]&lt;30,"Young (&lt;30)",IF(Table1[[#This Row],[Age]]&lt;=50,"Middle Age (30-50)","Older (&gt;50)"))</f>
        <v>Young (&lt;30)</v>
      </c>
      <c r="K448">
        <v>22</v>
      </c>
      <c r="L448">
        <v>1</v>
      </c>
    </row>
    <row r="449" spans="1:12" x14ac:dyDescent="0.3">
      <c r="A449">
        <v>4</v>
      </c>
      <c r="B449" t="str">
        <f>IF(Table1[[#This Row],[Glucose]]&lt;100,"Normal",IF(Table1[[#This Row],[Glucose]]&lt;126,"Prediabetes","High Risk"))</f>
        <v>Prediabetes</v>
      </c>
      <c r="C449">
        <v>122</v>
      </c>
      <c r="D449">
        <v>68</v>
      </c>
      <c r="E449">
        <v>0</v>
      </c>
      <c r="F449">
        <v>0</v>
      </c>
      <c r="G449" t="str">
        <f>IF(Table1[[#This Row],[BMI]]&lt;18.5,"Underweight",IF(Table1[[#This Row],[BMI]]&lt;25,"Normal",IF(Table1[[#This Row],[BMI]]&lt;30,"Overweight","Obese")))</f>
        <v>Obese</v>
      </c>
      <c r="H449">
        <v>35</v>
      </c>
      <c r="I449">
        <v>0.39400000000000002</v>
      </c>
      <c r="J449" t="str">
        <f>IF(Table1[[#This Row],[Age]]&lt;30,"Young (&lt;30)",IF(Table1[[#This Row],[Age]]&lt;=50,"Middle Age (30-50)","Older (&gt;50)"))</f>
        <v>Young (&lt;30)</v>
      </c>
      <c r="K449">
        <v>29</v>
      </c>
      <c r="L449">
        <v>0</v>
      </c>
    </row>
    <row r="450" spans="1:12" x14ac:dyDescent="0.3">
      <c r="A450">
        <v>4</v>
      </c>
      <c r="B450" t="str">
        <f>IF(Table1[[#This Row],[Glucose]]&lt;100,"Normal",IF(Table1[[#This Row],[Glucose]]&lt;126,"Prediabetes","High Risk"))</f>
        <v>High Risk</v>
      </c>
      <c r="C450">
        <v>171</v>
      </c>
      <c r="D450">
        <v>72</v>
      </c>
      <c r="E450">
        <v>0</v>
      </c>
      <c r="F450">
        <v>0</v>
      </c>
      <c r="G450" t="str">
        <f>IF(Table1[[#This Row],[BMI]]&lt;18.5,"Underweight",IF(Table1[[#This Row],[BMI]]&lt;25,"Normal",IF(Table1[[#This Row],[BMI]]&lt;30,"Overweight","Obese")))</f>
        <v>Obese</v>
      </c>
      <c r="H450">
        <v>43.6</v>
      </c>
      <c r="I450">
        <v>0.47899999999999998</v>
      </c>
      <c r="J450" t="str">
        <f>IF(Table1[[#This Row],[Age]]&lt;30,"Young (&lt;30)",IF(Table1[[#This Row],[Age]]&lt;=50,"Middle Age (30-50)","Older (&gt;50)"))</f>
        <v>Young (&lt;30)</v>
      </c>
      <c r="K450">
        <v>26</v>
      </c>
      <c r="L450">
        <v>1</v>
      </c>
    </row>
    <row r="451" spans="1:12" x14ac:dyDescent="0.3">
      <c r="A451">
        <v>4</v>
      </c>
      <c r="B451" t="str">
        <f>IF(Table1[[#This Row],[Glucose]]&lt;100,"Normal",IF(Table1[[#This Row],[Glucose]]&lt;126,"Prediabetes","High Risk"))</f>
        <v>Normal</v>
      </c>
      <c r="C451">
        <v>91</v>
      </c>
      <c r="D451">
        <v>70</v>
      </c>
      <c r="E451">
        <v>32</v>
      </c>
      <c r="F451">
        <v>88</v>
      </c>
      <c r="G451" t="str">
        <f>IF(Table1[[#This Row],[BMI]]&lt;18.5,"Underweight",IF(Table1[[#This Row],[BMI]]&lt;25,"Normal",IF(Table1[[#This Row],[BMI]]&lt;30,"Overweight","Obese")))</f>
        <v>Obese</v>
      </c>
      <c r="H451">
        <v>33.1</v>
      </c>
      <c r="I451">
        <v>0.44600000000000001</v>
      </c>
      <c r="J451" t="str">
        <f>IF(Table1[[#This Row],[Age]]&lt;30,"Young (&lt;30)",IF(Table1[[#This Row],[Age]]&lt;=50,"Middle Age (30-50)","Older (&gt;50)"))</f>
        <v>Young (&lt;30)</v>
      </c>
      <c r="K451">
        <v>22</v>
      </c>
      <c r="L451">
        <v>0</v>
      </c>
    </row>
    <row r="452" spans="1:12" x14ac:dyDescent="0.3">
      <c r="A452">
        <v>4</v>
      </c>
      <c r="B452" t="str">
        <f>IF(Table1[[#This Row],[Glucose]]&lt;100,"Normal",IF(Table1[[#This Row],[Glucose]]&lt;126,"Prediabetes","High Risk"))</f>
        <v>Normal</v>
      </c>
      <c r="C452">
        <v>95</v>
      </c>
      <c r="D452">
        <v>70</v>
      </c>
      <c r="E452">
        <v>32</v>
      </c>
      <c r="F452">
        <v>0</v>
      </c>
      <c r="G452" t="str">
        <f>IF(Table1[[#This Row],[BMI]]&lt;18.5,"Underweight",IF(Table1[[#This Row],[BMI]]&lt;25,"Normal",IF(Table1[[#This Row],[BMI]]&lt;30,"Overweight","Obese")))</f>
        <v>Obese</v>
      </c>
      <c r="H452">
        <v>32.1</v>
      </c>
      <c r="I452">
        <v>0.61199999999999999</v>
      </c>
      <c r="J452" t="str">
        <f>IF(Table1[[#This Row],[Age]]&lt;30,"Young (&lt;30)",IF(Table1[[#This Row],[Age]]&lt;=50,"Middle Age (30-50)","Older (&gt;50)"))</f>
        <v>Young (&lt;30)</v>
      </c>
      <c r="K452">
        <v>24</v>
      </c>
      <c r="L452">
        <v>0</v>
      </c>
    </row>
    <row r="453" spans="1:12" x14ac:dyDescent="0.3">
      <c r="A453">
        <v>4</v>
      </c>
      <c r="B453" t="str">
        <f>IF(Table1[[#This Row],[Glucose]]&lt;100,"Normal",IF(Table1[[#This Row],[Glucose]]&lt;126,"Prediabetes","High Risk"))</f>
        <v>Prediabetes</v>
      </c>
      <c r="C453">
        <v>123</v>
      </c>
      <c r="D453">
        <v>62</v>
      </c>
      <c r="E453">
        <v>0</v>
      </c>
      <c r="F453">
        <v>0</v>
      </c>
      <c r="G453" t="str">
        <f>IF(Table1[[#This Row],[BMI]]&lt;18.5,"Underweight",IF(Table1[[#This Row],[BMI]]&lt;25,"Normal",IF(Table1[[#This Row],[BMI]]&lt;30,"Overweight","Obese")))</f>
        <v>Obese</v>
      </c>
      <c r="H453">
        <v>32</v>
      </c>
      <c r="I453">
        <v>0.22600000000000001</v>
      </c>
      <c r="J453" t="str">
        <f>IF(Table1[[#This Row],[Age]]&lt;30,"Young (&lt;30)",IF(Table1[[#This Row],[Age]]&lt;=50,"Middle Age (30-50)","Older (&gt;50)"))</f>
        <v>Middle Age (30-50)</v>
      </c>
      <c r="K453">
        <v>35</v>
      </c>
      <c r="L453">
        <v>1</v>
      </c>
    </row>
    <row r="454" spans="1:12" x14ac:dyDescent="0.3">
      <c r="A454">
        <v>4</v>
      </c>
      <c r="B454" t="str">
        <f>IF(Table1[[#This Row],[Glucose]]&lt;100,"Normal",IF(Table1[[#This Row],[Glucose]]&lt;126,"Prediabetes","High Risk"))</f>
        <v>Normal</v>
      </c>
      <c r="C454">
        <v>96</v>
      </c>
      <c r="D454">
        <v>56</v>
      </c>
      <c r="E454">
        <v>17</v>
      </c>
      <c r="F454">
        <v>49</v>
      </c>
      <c r="G454" t="str">
        <f>IF(Table1[[#This Row],[BMI]]&lt;18.5,"Underweight",IF(Table1[[#This Row],[BMI]]&lt;25,"Normal",IF(Table1[[#This Row],[BMI]]&lt;30,"Overweight","Obese")))</f>
        <v>Normal</v>
      </c>
      <c r="H454">
        <v>20.8</v>
      </c>
      <c r="I454">
        <v>0.34</v>
      </c>
      <c r="J454" t="str">
        <f>IF(Table1[[#This Row],[Age]]&lt;30,"Young (&lt;30)",IF(Table1[[#This Row],[Age]]&lt;=50,"Middle Age (30-50)","Older (&gt;50)"))</f>
        <v>Young (&lt;30)</v>
      </c>
      <c r="K454">
        <v>26</v>
      </c>
      <c r="L454">
        <v>0</v>
      </c>
    </row>
    <row r="455" spans="1:12" x14ac:dyDescent="0.3">
      <c r="A455">
        <v>4</v>
      </c>
      <c r="B455" t="str">
        <f>IF(Table1[[#This Row],[Glucose]]&lt;100,"Normal",IF(Table1[[#This Row],[Glucose]]&lt;126,"Prediabetes","High Risk"))</f>
        <v>High Risk</v>
      </c>
      <c r="C455">
        <v>129</v>
      </c>
      <c r="D455">
        <v>60</v>
      </c>
      <c r="E455">
        <v>12</v>
      </c>
      <c r="F455">
        <v>231</v>
      </c>
      <c r="G455" t="str">
        <f>IF(Table1[[#This Row],[BMI]]&lt;18.5,"Underweight",IF(Table1[[#This Row],[BMI]]&lt;25,"Normal",IF(Table1[[#This Row],[BMI]]&lt;30,"Overweight","Obese")))</f>
        <v>Overweight</v>
      </c>
      <c r="H455">
        <v>27.5</v>
      </c>
      <c r="I455">
        <v>0.52700000000000002</v>
      </c>
      <c r="J455" t="str">
        <f>IF(Table1[[#This Row],[Age]]&lt;30,"Young (&lt;30)",IF(Table1[[#This Row],[Age]]&lt;=50,"Middle Age (30-50)","Older (&gt;50)"))</f>
        <v>Middle Age (30-50)</v>
      </c>
      <c r="K455">
        <v>31</v>
      </c>
      <c r="L455">
        <v>0</v>
      </c>
    </row>
    <row r="456" spans="1:12" x14ac:dyDescent="0.3">
      <c r="A456">
        <v>4</v>
      </c>
      <c r="B456" t="str">
        <f>IF(Table1[[#This Row],[Glucose]]&lt;100,"Normal",IF(Table1[[#This Row],[Glucose]]&lt;126,"Prediabetes","High Risk"))</f>
        <v>Normal</v>
      </c>
      <c r="C456">
        <v>92</v>
      </c>
      <c r="D456">
        <v>80</v>
      </c>
      <c r="E456">
        <v>0</v>
      </c>
      <c r="F456">
        <v>0</v>
      </c>
      <c r="G456" t="str">
        <f>IF(Table1[[#This Row],[BMI]]&lt;18.5,"Underweight",IF(Table1[[#This Row],[BMI]]&lt;25,"Normal",IF(Table1[[#This Row],[BMI]]&lt;30,"Overweight","Obese")))</f>
        <v>Obese</v>
      </c>
      <c r="H456">
        <v>42.2</v>
      </c>
      <c r="I456">
        <v>0.23699999999999999</v>
      </c>
      <c r="J456" t="str">
        <f>IF(Table1[[#This Row],[Age]]&lt;30,"Young (&lt;30)",IF(Table1[[#This Row],[Age]]&lt;=50,"Middle Age (30-50)","Older (&gt;50)"))</f>
        <v>Young (&lt;30)</v>
      </c>
      <c r="K456">
        <v>29</v>
      </c>
      <c r="L456">
        <v>0</v>
      </c>
    </row>
    <row r="457" spans="1:12" x14ac:dyDescent="0.3">
      <c r="A457">
        <v>4</v>
      </c>
      <c r="B457" t="str">
        <f>IF(Table1[[#This Row],[Glucose]]&lt;100,"Normal",IF(Table1[[#This Row],[Glucose]]&lt;126,"Prediabetes","High Risk"))</f>
        <v>High Risk</v>
      </c>
      <c r="C457">
        <v>137</v>
      </c>
      <c r="D457">
        <v>84</v>
      </c>
      <c r="E457">
        <v>0</v>
      </c>
      <c r="F457">
        <v>0</v>
      </c>
      <c r="G457" t="str">
        <f>IF(Table1[[#This Row],[BMI]]&lt;18.5,"Underweight",IF(Table1[[#This Row],[BMI]]&lt;25,"Normal",IF(Table1[[#This Row],[BMI]]&lt;30,"Overweight","Obese")))</f>
        <v>Obese</v>
      </c>
      <c r="H457">
        <v>31.2</v>
      </c>
      <c r="I457">
        <v>0.252</v>
      </c>
      <c r="J457" t="str">
        <f>IF(Table1[[#This Row],[Age]]&lt;30,"Young (&lt;30)",IF(Table1[[#This Row],[Age]]&lt;=50,"Middle Age (30-50)","Older (&gt;50)"))</f>
        <v>Middle Age (30-50)</v>
      </c>
      <c r="K457">
        <v>30</v>
      </c>
      <c r="L457">
        <v>0</v>
      </c>
    </row>
    <row r="458" spans="1:12" x14ac:dyDescent="0.3">
      <c r="A458">
        <v>4</v>
      </c>
      <c r="B458" t="str">
        <f>IF(Table1[[#This Row],[Glucose]]&lt;100,"Normal",IF(Table1[[#This Row],[Glucose]]&lt;126,"Prediabetes","High Risk"))</f>
        <v>High Risk</v>
      </c>
      <c r="C458">
        <v>146</v>
      </c>
      <c r="D458">
        <v>78</v>
      </c>
      <c r="E458">
        <v>0</v>
      </c>
      <c r="F458">
        <v>0</v>
      </c>
      <c r="G458" t="str">
        <f>IF(Table1[[#This Row],[BMI]]&lt;18.5,"Underweight",IF(Table1[[#This Row],[BMI]]&lt;25,"Normal",IF(Table1[[#This Row],[BMI]]&lt;30,"Overweight","Obese")))</f>
        <v>Obese</v>
      </c>
      <c r="H458">
        <v>38.5</v>
      </c>
      <c r="I458">
        <v>0.52</v>
      </c>
      <c r="J458" t="str">
        <f>IF(Table1[[#This Row],[Age]]&lt;30,"Young (&lt;30)",IF(Table1[[#This Row],[Age]]&lt;=50,"Middle Age (30-50)","Older (&gt;50)"))</f>
        <v>Older (&gt;50)</v>
      </c>
      <c r="K458">
        <v>67</v>
      </c>
      <c r="L458">
        <v>1</v>
      </c>
    </row>
    <row r="459" spans="1:12" x14ac:dyDescent="0.3">
      <c r="A459">
        <v>4</v>
      </c>
      <c r="B459" t="str">
        <f>IF(Table1[[#This Row],[Glucose]]&lt;100,"Normal",IF(Table1[[#This Row],[Glucose]]&lt;126,"Prediabetes","High Risk"))</f>
        <v>High Risk</v>
      </c>
      <c r="C459">
        <v>147</v>
      </c>
      <c r="D459">
        <v>74</v>
      </c>
      <c r="E459">
        <v>25</v>
      </c>
      <c r="F459">
        <v>293</v>
      </c>
      <c r="G459" t="str">
        <f>IF(Table1[[#This Row],[BMI]]&lt;18.5,"Underweight",IF(Table1[[#This Row],[BMI]]&lt;25,"Normal",IF(Table1[[#This Row],[BMI]]&lt;30,"Overweight","Obese")))</f>
        <v>Obese</v>
      </c>
      <c r="H459">
        <v>34.9</v>
      </c>
      <c r="I459">
        <v>0.38500000000000001</v>
      </c>
      <c r="J459" t="str">
        <f>IF(Table1[[#This Row],[Age]]&lt;30,"Young (&lt;30)",IF(Table1[[#This Row],[Age]]&lt;=50,"Middle Age (30-50)","Older (&gt;50)"))</f>
        <v>Middle Age (30-50)</v>
      </c>
      <c r="K459">
        <v>30</v>
      </c>
      <c r="L459">
        <v>0</v>
      </c>
    </row>
    <row r="460" spans="1:12" x14ac:dyDescent="0.3">
      <c r="A460">
        <v>4</v>
      </c>
      <c r="B460" t="str">
        <f>IF(Table1[[#This Row],[Glucose]]&lt;100,"Normal",IF(Table1[[#This Row],[Glucose]]&lt;126,"Prediabetes","High Risk"))</f>
        <v>High Risk</v>
      </c>
      <c r="C460">
        <v>156</v>
      </c>
      <c r="D460">
        <v>75</v>
      </c>
      <c r="E460">
        <v>0</v>
      </c>
      <c r="F460">
        <v>0</v>
      </c>
      <c r="G460" t="str">
        <f>IF(Table1[[#This Row],[BMI]]&lt;18.5,"Underweight",IF(Table1[[#This Row],[BMI]]&lt;25,"Normal",IF(Table1[[#This Row],[BMI]]&lt;30,"Overweight","Obese")))</f>
        <v>Obese</v>
      </c>
      <c r="H460">
        <v>48.3</v>
      </c>
      <c r="I460">
        <v>0.23799999999999999</v>
      </c>
      <c r="J460" t="str">
        <f>IF(Table1[[#This Row],[Age]]&lt;30,"Young (&lt;30)",IF(Table1[[#This Row],[Age]]&lt;=50,"Middle Age (30-50)","Older (&gt;50)"))</f>
        <v>Middle Age (30-50)</v>
      </c>
      <c r="K460">
        <v>32</v>
      </c>
      <c r="L460">
        <v>1</v>
      </c>
    </row>
    <row r="461" spans="1:12" x14ac:dyDescent="0.3">
      <c r="A461">
        <v>4</v>
      </c>
      <c r="B461" t="str">
        <f>IF(Table1[[#This Row],[Glucose]]&lt;100,"Normal",IF(Table1[[#This Row],[Glucose]]&lt;126,"Prediabetes","High Risk"))</f>
        <v>Prediabetes</v>
      </c>
      <c r="C461">
        <v>116</v>
      </c>
      <c r="D461">
        <v>72</v>
      </c>
      <c r="E461">
        <v>12</v>
      </c>
      <c r="F461">
        <v>87</v>
      </c>
      <c r="G461" t="str">
        <f>IF(Table1[[#This Row],[BMI]]&lt;18.5,"Underweight",IF(Table1[[#This Row],[BMI]]&lt;25,"Normal",IF(Table1[[#This Row],[BMI]]&lt;30,"Overweight","Obese")))</f>
        <v>Normal</v>
      </c>
      <c r="H461">
        <v>22.1</v>
      </c>
      <c r="I461">
        <v>0.46300000000000002</v>
      </c>
      <c r="J461" t="str">
        <f>IF(Table1[[#This Row],[Age]]&lt;30,"Young (&lt;30)",IF(Table1[[#This Row],[Age]]&lt;=50,"Middle Age (30-50)","Older (&gt;50)"))</f>
        <v>Middle Age (30-50)</v>
      </c>
      <c r="K461">
        <v>37</v>
      </c>
      <c r="L461">
        <v>0</v>
      </c>
    </row>
    <row r="462" spans="1:12" x14ac:dyDescent="0.3">
      <c r="A462">
        <v>4</v>
      </c>
      <c r="B462" t="str">
        <f>IF(Table1[[#This Row],[Glucose]]&lt;100,"Normal",IF(Table1[[#This Row],[Glucose]]&lt;126,"Prediabetes","High Risk"))</f>
        <v>High Risk</v>
      </c>
      <c r="C462">
        <v>158</v>
      </c>
      <c r="D462">
        <v>78</v>
      </c>
      <c r="E462">
        <v>0</v>
      </c>
      <c r="F462">
        <v>0</v>
      </c>
      <c r="G462" t="str">
        <f>IF(Table1[[#This Row],[BMI]]&lt;18.5,"Underweight",IF(Table1[[#This Row],[BMI]]&lt;25,"Normal",IF(Table1[[#This Row],[BMI]]&lt;30,"Overweight","Obese")))</f>
        <v>Obese</v>
      </c>
      <c r="H462">
        <v>32.9</v>
      </c>
      <c r="I462">
        <v>0.80300000000000005</v>
      </c>
      <c r="J462" t="str">
        <f>IF(Table1[[#This Row],[Age]]&lt;30,"Young (&lt;30)",IF(Table1[[#This Row],[Age]]&lt;=50,"Middle Age (30-50)","Older (&gt;50)"))</f>
        <v>Middle Age (30-50)</v>
      </c>
      <c r="K462">
        <v>31</v>
      </c>
      <c r="L462">
        <v>1</v>
      </c>
    </row>
    <row r="463" spans="1:12" x14ac:dyDescent="0.3">
      <c r="A463">
        <v>4</v>
      </c>
      <c r="B463" t="str">
        <f>IF(Table1[[#This Row],[Glucose]]&lt;100,"Normal",IF(Table1[[#This Row],[Glucose]]&lt;126,"Prediabetes","High Risk"))</f>
        <v>Normal</v>
      </c>
      <c r="C463">
        <v>95</v>
      </c>
      <c r="D463">
        <v>64</v>
      </c>
      <c r="E463">
        <v>0</v>
      </c>
      <c r="F463">
        <v>0</v>
      </c>
      <c r="G463" t="str">
        <f>IF(Table1[[#This Row],[BMI]]&lt;18.5,"Underweight",IF(Table1[[#This Row],[BMI]]&lt;25,"Normal",IF(Table1[[#This Row],[BMI]]&lt;30,"Overweight","Obese")))</f>
        <v>Obese</v>
      </c>
      <c r="H463">
        <v>32</v>
      </c>
      <c r="I463">
        <v>0.161</v>
      </c>
      <c r="J463" t="str">
        <f>IF(Table1[[#This Row],[Age]]&lt;30,"Young (&lt;30)",IF(Table1[[#This Row],[Age]]&lt;=50,"Middle Age (30-50)","Older (&gt;50)"))</f>
        <v>Middle Age (30-50)</v>
      </c>
      <c r="K463">
        <v>31</v>
      </c>
      <c r="L463">
        <v>1</v>
      </c>
    </row>
    <row r="464" spans="1:12" x14ac:dyDescent="0.3">
      <c r="A464">
        <v>4</v>
      </c>
      <c r="B464" t="str">
        <f>IF(Table1[[#This Row],[Glucose]]&lt;100,"Normal",IF(Table1[[#This Row],[Glucose]]&lt;126,"Prediabetes","High Risk"))</f>
        <v>Prediabetes</v>
      </c>
      <c r="C464">
        <v>115</v>
      </c>
      <c r="D464">
        <v>72</v>
      </c>
      <c r="E464">
        <v>0</v>
      </c>
      <c r="F464">
        <v>0</v>
      </c>
      <c r="G464" t="str">
        <f>IF(Table1[[#This Row],[BMI]]&lt;18.5,"Underweight",IF(Table1[[#This Row],[BMI]]&lt;25,"Normal",IF(Table1[[#This Row],[BMI]]&lt;30,"Overweight","Obese")))</f>
        <v>Overweight</v>
      </c>
      <c r="H464">
        <v>28.9</v>
      </c>
      <c r="I464">
        <v>0.376</v>
      </c>
      <c r="J464" t="str">
        <f>IF(Table1[[#This Row],[Age]]&lt;30,"Young (&lt;30)",IF(Table1[[#This Row],[Age]]&lt;=50,"Middle Age (30-50)","Older (&gt;50)"))</f>
        <v>Middle Age (30-50)</v>
      </c>
      <c r="K464">
        <v>46</v>
      </c>
      <c r="L464">
        <v>1</v>
      </c>
    </row>
    <row r="465" spans="1:12" x14ac:dyDescent="0.3">
      <c r="A465">
        <v>4</v>
      </c>
      <c r="B465" t="str">
        <f>IF(Table1[[#This Row],[Glucose]]&lt;100,"Normal",IF(Table1[[#This Row],[Glucose]]&lt;126,"Prediabetes","High Risk"))</f>
        <v>High Risk</v>
      </c>
      <c r="C465">
        <v>144</v>
      </c>
      <c r="D465">
        <v>82</v>
      </c>
      <c r="E465">
        <v>32</v>
      </c>
      <c r="F465">
        <v>0</v>
      </c>
      <c r="G465" t="str">
        <f>IF(Table1[[#This Row],[BMI]]&lt;18.5,"Underweight",IF(Table1[[#This Row],[BMI]]&lt;25,"Normal",IF(Table1[[#This Row],[BMI]]&lt;30,"Overweight","Obese")))</f>
        <v>Obese</v>
      </c>
      <c r="H465">
        <v>38.5</v>
      </c>
      <c r="I465">
        <v>0.55400000000000005</v>
      </c>
      <c r="J465" t="str">
        <f>IF(Table1[[#This Row],[Age]]&lt;30,"Young (&lt;30)",IF(Table1[[#This Row],[Age]]&lt;=50,"Middle Age (30-50)","Older (&gt;50)"))</f>
        <v>Middle Age (30-50)</v>
      </c>
      <c r="K465">
        <v>37</v>
      </c>
      <c r="L465">
        <v>1</v>
      </c>
    </row>
    <row r="466" spans="1:12" x14ac:dyDescent="0.3">
      <c r="A466">
        <v>4</v>
      </c>
      <c r="B466" t="str">
        <f>IF(Table1[[#This Row],[Glucose]]&lt;100,"Normal",IF(Table1[[#This Row],[Glucose]]&lt;126,"Prediabetes","High Risk"))</f>
        <v>High Risk</v>
      </c>
      <c r="C466">
        <v>184</v>
      </c>
      <c r="D466">
        <v>78</v>
      </c>
      <c r="E466">
        <v>39</v>
      </c>
      <c r="F466">
        <v>277</v>
      </c>
      <c r="G466" t="str">
        <f>IF(Table1[[#This Row],[BMI]]&lt;18.5,"Underweight",IF(Table1[[#This Row],[BMI]]&lt;25,"Normal",IF(Table1[[#This Row],[BMI]]&lt;30,"Overweight","Obese")))</f>
        <v>Obese</v>
      </c>
      <c r="H466">
        <v>37</v>
      </c>
      <c r="I466">
        <v>0.26400000000000001</v>
      </c>
      <c r="J466" t="str">
        <f>IF(Table1[[#This Row],[Age]]&lt;30,"Young (&lt;30)",IF(Table1[[#This Row],[Age]]&lt;=50,"Middle Age (30-50)","Older (&gt;50)"))</f>
        <v>Middle Age (30-50)</v>
      </c>
      <c r="K466">
        <v>31</v>
      </c>
      <c r="L466">
        <v>1</v>
      </c>
    </row>
    <row r="467" spans="1:12" x14ac:dyDescent="0.3">
      <c r="A467">
        <v>4</v>
      </c>
      <c r="B467" t="str">
        <f>IF(Table1[[#This Row],[Glucose]]&lt;100,"Normal",IF(Table1[[#This Row],[Glucose]]&lt;126,"Prediabetes","High Risk"))</f>
        <v>Prediabetes</v>
      </c>
      <c r="C467">
        <v>117</v>
      </c>
      <c r="D467">
        <v>64</v>
      </c>
      <c r="E467">
        <v>27</v>
      </c>
      <c r="F467">
        <v>120</v>
      </c>
      <c r="G467" t="str">
        <f>IF(Table1[[#This Row],[BMI]]&lt;18.5,"Underweight",IF(Table1[[#This Row],[BMI]]&lt;25,"Normal",IF(Table1[[#This Row],[BMI]]&lt;30,"Overweight","Obese")))</f>
        <v>Obese</v>
      </c>
      <c r="H467">
        <v>33.200000000000003</v>
      </c>
      <c r="I467">
        <v>0.23</v>
      </c>
      <c r="J467" t="str">
        <f>IF(Table1[[#This Row],[Age]]&lt;30,"Young (&lt;30)",IF(Table1[[#This Row],[Age]]&lt;=50,"Middle Age (30-50)","Older (&gt;50)"))</f>
        <v>Young (&lt;30)</v>
      </c>
      <c r="K467">
        <v>24</v>
      </c>
      <c r="L467">
        <v>0</v>
      </c>
    </row>
    <row r="468" spans="1:12" x14ac:dyDescent="0.3">
      <c r="A468">
        <v>4</v>
      </c>
      <c r="B468" t="str">
        <f>IF(Table1[[#This Row],[Glucose]]&lt;100,"Normal",IF(Table1[[#This Row],[Glucose]]&lt;126,"Prediabetes","High Risk"))</f>
        <v>Prediabetes</v>
      </c>
      <c r="C468">
        <v>117</v>
      </c>
      <c r="D468">
        <v>62</v>
      </c>
      <c r="E468">
        <v>12</v>
      </c>
      <c r="F468">
        <v>0</v>
      </c>
      <c r="G468" t="str">
        <f>IF(Table1[[#This Row],[BMI]]&lt;18.5,"Underweight",IF(Table1[[#This Row],[BMI]]&lt;25,"Normal",IF(Table1[[#This Row],[BMI]]&lt;30,"Overweight","Obese")))</f>
        <v>Overweight</v>
      </c>
      <c r="H468">
        <v>29.7</v>
      </c>
      <c r="I468">
        <v>0.38</v>
      </c>
      <c r="J468" t="str">
        <f>IF(Table1[[#This Row],[Age]]&lt;30,"Young (&lt;30)",IF(Table1[[#This Row],[Age]]&lt;=50,"Middle Age (30-50)","Older (&gt;50)"))</f>
        <v>Middle Age (30-50)</v>
      </c>
      <c r="K468">
        <v>30</v>
      </c>
      <c r="L468">
        <v>1</v>
      </c>
    </row>
    <row r="469" spans="1:12" x14ac:dyDescent="0.3">
      <c r="A469">
        <v>4</v>
      </c>
      <c r="B469" t="str">
        <f>IF(Table1[[#This Row],[Glucose]]&lt;100,"Normal",IF(Table1[[#This Row],[Glucose]]&lt;126,"Prediabetes","High Risk"))</f>
        <v>Prediabetes</v>
      </c>
      <c r="C469">
        <v>114</v>
      </c>
      <c r="D469">
        <v>64</v>
      </c>
      <c r="E469">
        <v>0</v>
      </c>
      <c r="F469">
        <v>0</v>
      </c>
      <c r="G469" t="str">
        <f>IF(Table1[[#This Row],[BMI]]&lt;18.5,"Underweight",IF(Table1[[#This Row],[BMI]]&lt;25,"Normal",IF(Table1[[#This Row],[BMI]]&lt;30,"Overweight","Obese")))</f>
        <v>Overweight</v>
      </c>
      <c r="H469">
        <v>28.9</v>
      </c>
      <c r="I469">
        <v>0.126</v>
      </c>
      <c r="J469" t="str">
        <f>IF(Table1[[#This Row],[Age]]&lt;30,"Young (&lt;30)",IF(Table1[[#This Row],[Age]]&lt;=50,"Middle Age (30-50)","Older (&gt;50)"))</f>
        <v>Young (&lt;30)</v>
      </c>
      <c r="K469">
        <v>24</v>
      </c>
      <c r="L469">
        <v>0</v>
      </c>
    </row>
    <row r="470" spans="1:12" x14ac:dyDescent="0.3">
      <c r="A470">
        <v>4</v>
      </c>
      <c r="B470" t="str">
        <f>IF(Table1[[#This Row],[Glucose]]&lt;100,"Normal",IF(Table1[[#This Row],[Glucose]]&lt;126,"Prediabetes","High Risk"))</f>
        <v>High Risk</v>
      </c>
      <c r="C470">
        <v>132</v>
      </c>
      <c r="D470">
        <v>86</v>
      </c>
      <c r="E470">
        <v>31</v>
      </c>
      <c r="F470">
        <v>0</v>
      </c>
      <c r="G470" t="str">
        <f>IF(Table1[[#This Row],[BMI]]&lt;18.5,"Underweight",IF(Table1[[#This Row],[BMI]]&lt;25,"Normal",IF(Table1[[#This Row],[BMI]]&lt;30,"Overweight","Obese")))</f>
        <v>Overweight</v>
      </c>
      <c r="H470">
        <v>28</v>
      </c>
      <c r="I470">
        <v>0.41899999999999998</v>
      </c>
      <c r="J470" t="str">
        <f>IF(Table1[[#This Row],[Age]]&lt;30,"Young (&lt;30)",IF(Table1[[#This Row],[Age]]&lt;=50,"Middle Age (30-50)","Older (&gt;50)"))</f>
        <v>Older (&gt;50)</v>
      </c>
      <c r="K470">
        <v>63</v>
      </c>
      <c r="L470">
        <v>0</v>
      </c>
    </row>
    <row r="471" spans="1:12" x14ac:dyDescent="0.3">
      <c r="A471">
        <v>4</v>
      </c>
      <c r="B471" t="str">
        <f>IF(Table1[[#This Row],[Glucose]]&lt;100,"Normal",IF(Table1[[#This Row],[Glucose]]&lt;126,"Prediabetes","High Risk"))</f>
        <v>Normal</v>
      </c>
      <c r="C471">
        <v>85</v>
      </c>
      <c r="D471">
        <v>58</v>
      </c>
      <c r="E471">
        <v>22</v>
      </c>
      <c r="F471">
        <v>49</v>
      </c>
      <c r="G471" t="str">
        <f>IF(Table1[[#This Row],[BMI]]&lt;18.5,"Underweight",IF(Table1[[#This Row],[BMI]]&lt;25,"Normal",IF(Table1[[#This Row],[BMI]]&lt;30,"Overweight","Obese")))</f>
        <v>Overweight</v>
      </c>
      <c r="H471">
        <v>27.8</v>
      </c>
      <c r="I471">
        <v>0.30599999999999999</v>
      </c>
      <c r="J471" t="str">
        <f>IF(Table1[[#This Row],[Age]]&lt;30,"Young (&lt;30)",IF(Table1[[#This Row],[Age]]&lt;=50,"Middle Age (30-50)","Older (&gt;50)"))</f>
        <v>Young (&lt;30)</v>
      </c>
      <c r="K471">
        <v>28</v>
      </c>
      <c r="L471">
        <v>0</v>
      </c>
    </row>
    <row r="472" spans="1:12" x14ac:dyDescent="0.3">
      <c r="A472">
        <v>4</v>
      </c>
      <c r="B472" t="str">
        <f>IF(Table1[[#This Row],[Glucose]]&lt;100,"Normal",IF(Table1[[#This Row],[Glucose]]&lt;126,"Prediabetes","High Risk"))</f>
        <v>Normal</v>
      </c>
      <c r="C472">
        <v>99</v>
      </c>
      <c r="D472">
        <v>72</v>
      </c>
      <c r="E472">
        <v>17</v>
      </c>
      <c r="F472">
        <v>0</v>
      </c>
      <c r="G472" t="str">
        <f>IF(Table1[[#This Row],[BMI]]&lt;18.5,"Underweight",IF(Table1[[#This Row],[BMI]]&lt;25,"Normal",IF(Table1[[#This Row],[BMI]]&lt;30,"Overweight","Obese")))</f>
        <v>Overweight</v>
      </c>
      <c r="H472">
        <v>25.6</v>
      </c>
      <c r="I472">
        <v>0.29399999999999998</v>
      </c>
      <c r="J472" t="str">
        <f>IF(Table1[[#This Row],[Age]]&lt;30,"Young (&lt;30)",IF(Table1[[#This Row],[Age]]&lt;=50,"Middle Age (30-50)","Older (&gt;50)"))</f>
        <v>Young (&lt;30)</v>
      </c>
      <c r="K472">
        <v>28</v>
      </c>
      <c r="L472">
        <v>0</v>
      </c>
    </row>
    <row r="473" spans="1:12" x14ac:dyDescent="0.3">
      <c r="A473">
        <v>4</v>
      </c>
      <c r="B473" t="str">
        <f>IF(Table1[[#This Row],[Glucose]]&lt;100,"Normal",IF(Table1[[#This Row],[Glucose]]&lt;126,"Prediabetes","High Risk"))</f>
        <v>Normal</v>
      </c>
      <c r="C473">
        <v>99</v>
      </c>
      <c r="D473">
        <v>68</v>
      </c>
      <c r="E473">
        <v>38</v>
      </c>
      <c r="F473">
        <v>0</v>
      </c>
      <c r="G473" t="str">
        <f>IF(Table1[[#This Row],[BMI]]&lt;18.5,"Underweight",IF(Table1[[#This Row],[BMI]]&lt;25,"Normal",IF(Table1[[#This Row],[BMI]]&lt;30,"Overweight","Obese")))</f>
        <v>Obese</v>
      </c>
      <c r="H473">
        <v>32.799999999999997</v>
      </c>
      <c r="I473">
        <v>0.14499999999999999</v>
      </c>
      <c r="J473" t="str">
        <f>IF(Table1[[#This Row],[Age]]&lt;30,"Young (&lt;30)",IF(Table1[[#This Row],[Age]]&lt;=50,"Middle Age (30-50)","Older (&gt;50)"))</f>
        <v>Middle Age (30-50)</v>
      </c>
      <c r="K473">
        <v>33</v>
      </c>
      <c r="L473">
        <v>0</v>
      </c>
    </row>
    <row r="474" spans="1:12" x14ac:dyDescent="0.3">
      <c r="A474">
        <v>4</v>
      </c>
      <c r="B474" t="str">
        <f>IF(Table1[[#This Row],[Glucose]]&lt;100,"Normal",IF(Table1[[#This Row],[Glucose]]&lt;126,"Prediabetes","High Risk"))</f>
        <v>Prediabetes</v>
      </c>
      <c r="C474">
        <v>125</v>
      </c>
      <c r="D474">
        <v>70</v>
      </c>
      <c r="E474">
        <v>18</v>
      </c>
      <c r="F474">
        <v>122</v>
      </c>
      <c r="G474" t="str">
        <f>IF(Table1[[#This Row],[BMI]]&lt;18.5,"Underweight",IF(Table1[[#This Row],[BMI]]&lt;25,"Normal",IF(Table1[[#This Row],[BMI]]&lt;30,"Overweight","Obese")))</f>
        <v>Overweight</v>
      </c>
      <c r="H474">
        <v>28.9</v>
      </c>
      <c r="I474">
        <v>1.1439999999999999</v>
      </c>
      <c r="J474" t="str">
        <f>IF(Table1[[#This Row],[Age]]&lt;30,"Young (&lt;30)",IF(Table1[[#This Row],[Age]]&lt;=50,"Middle Age (30-50)","Older (&gt;50)"))</f>
        <v>Middle Age (30-50)</v>
      </c>
      <c r="K474">
        <v>45</v>
      </c>
      <c r="L474">
        <v>1</v>
      </c>
    </row>
    <row r="475" spans="1:12" x14ac:dyDescent="0.3">
      <c r="A475">
        <v>4</v>
      </c>
      <c r="B475" t="str">
        <f>IF(Table1[[#This Row],[Glucose]]&lt;100,"Normal",IF(Table1[[#This Row],[Glucose]]&lt;126,"Prediabetes","High Risk"))</f>
        <v>High Risk</v>
      </c>
      <c r="C475">
        <v>132</v>
      </c>
      <c r="D475">
        <v>0</v>
      </c>
      <c r="E475">
        <v>0</v>
      </c>
      <c r="F475">
        <v>0</v>
      </c>
      <c r="G475" t="str">
        <f>IF(Table1[[#This Row],[BMI]]&lt;18.5,"Underweight",IF(Table1[[#This Row],[BMI]]&lt;25,"Normal",IF(Table1[[#This Row],[BMI]]&lt;30,"Overweight","Obese")))</f>
        <v>Obese</v>
      </c>
      <c r="H475">
        <v>32.9</v>
      </c>
      <c r="I475">
        <v>0.30199999999999999</v>
      </c>
      <c r="J475" t="str">
        <f>IF(Table1[[#This Row],[Age]]&lt;30,"Young (&lt;30)",IF(Table1[[#This Row],[Age]]&lt;=50,"Middle Age (30-50)","Older (&gt;50)"))</f>
        <v>Young (&lt;30)</v>
      </c>
      <c r="K475">
        <v>23</v>
      </c>
      <c r="L475">
        <v>1</v>
      </c>
    </row>
    <row r="476" spans="1:12" x14ac:dyDescent="0.3">
      <c r="A476">
        <v>4</v>
      </c>
      <c r="B476" t="str">
        <f>IF(Table1[[#This Row],[Glucose]]&lt;100,"Normal",IF(Table1[[#This Row],[Glucose]]&lt;126,"Prediabetes","High Risk"))</f>
        <v>Normal</v>
      </c>
      <c r="C476">
        <v>84</v>
      </c>
      <c r="D476">
        <v>90</v>
      </c>
      <c r="E476">
        <v>23</v>
      </c>
      <c r="F476">
        <v>56</v>
      </c>
      <c r="G476" t="str">
        <f>IF(Table1[[#This Row],[BMI]]&lt;18.5,"Underweight",IF(Table1[[#This Row],[BMI]]&lt;25,"Normal",IF(Table1[[#This Row],[BMI]]&lt;30,"Overweight","Obese")))</f>
        <v>Obese</v>
      </c>
      <c r="H476">
        <v>39.5</v>
      </c>
      <c r="I476">
        <v>0.159</v>
      </c>
      <c r="J476" t="str">
        <f>IF(Table1[[#This Row],[Age]]&lt;30,"Young (&lt;30)",IF(Table1[[#This Row],[Age]]&lt;=50,"Middle Age (30-50)","Older (&gt;50)"))</f>
        <v>Young (&lt;30)</v>
      </c>
      <c r="K476">
        <v>25</v>
      </c>
      <c r="L476">
        <v>0</v>
      </c>
    </row>
    <row r="477" spans="1:12" x14ac:dyDescent="0.3">
      <c r="A477">
        <v>4</v>
      </c>
      <c r="B477" t="str">
        <f>IF(Table1[[#This Row],[Glucose]]&lt;100,"Normal",IF(Table1[[#This Row],[Glucose]]&lt;126,"Prediabetes","High Risk"))</f>
        <v>High Risk</v>
      </c>
      <c r="C477">
        <v>131</v>
      </c>
      <c r="D477">
        <v>68</v>
      </c>
      <c r="E477">
        <v>21</v>
      </c>
      <c r="F477">
        <v>166</v>
      </c>
      <c r="G477" t="str">
        <f>IF(Table1[[#This Row],[BMI]]&lt;18.5,"Underweight",IF(Table1[[#This Row],[BMI]]&lt;25,"Normal",IF(Table1[[#This Row],[BMI]]&lt;30,"Overweight","Obese")))</f>
        <v>Obese</v>
      </c>
      <c r="H477">
        <v>33.1</v>
      </c>
      <c r="I477">
        <v>0.16</v>
      </c>
      <c r="J477" t="str">
        <f>IF(Table1[[#This Row],[Age]]&lt;30,"Young (&lt;30)",IF(Table1[[#This Row],[Age]]&lt;=50,"Middle Age (30-50)","Older (&gt;50)"))</f>
        <v>Young (&lt;30)</v>
      </c>
      <c r="K477">
        <v>28</v>
      </c>
      <c r="L477">
        <v>0</v>
      </c>
    </row>
    <row r="478" spans="1:12" x14ac:dyDescent="0.3">
      <c r="A478">
        <v>4</v>
      </c>
      <c r="B478" t="str">
        <f>IF(Table1[[#This Row],[Glucose]]&lt;100,"Normal",IF(Table1[[#This Row],[Glucose]]&lt;126,"Prediabetes","High Risk"))</f>
        <v>High Risk</v>
      </c>
      <c r="C478">
        <v>189</v>
      </c>
      <c r="D478">
        <v>110</v>
      </c>
      <c r="E478">
        <v>31</v>
      </c>
      <c r="F478">
        <v>0</v>
      </c>
      <c r="G478" t="str">
        <f>IF(Table1[[#This Row],[BMI]]&lt;18.5,"Underweight",IF(Table1[[#This Row],[BMI]]&lt;25,"Normal",IF(Table1[[#This Row],[BMI]]&lt;30,"Overweight","Obese")))</f>
        <v>Overweight</v>
      </c>
      <c r="H478">
        <v>28.5</v>
      </c>
      <c r="I478">
        <v>0.68</v>
      </c>
      <c r="J478" t="str">
        <f>IF(Table1[[#This Row],[Age]]&lt;30,"Young (&lt;30)",IF(Table1[[#This Row],[Age]]&lt;=50,"Middle Age (30-50)","Older (&gt;50)"))</f>
        <v>Middle Age (30-50)</v>
      </c>
      <c r="K478">
        <v>37</v>
      </c>
      <c r="L478">
        <v>0</v>
      </c>
    </row>
    <row r="479" spans="1:12" x14ac:dyDescent="0.3">
      <c r="A479">
        <v>4</v>
      </c>
      <c r="B479" t="str">
        <f>IF(Table1[[#This Row],[Glucose]]&lt;100,"Normal",IF(Table1[[#This Row],[Glucose]]&lt;126,"Prediabetes","High Risk"))</f>
        <v>High Risk</v>
      </c>
      <c r="C479">
        <v>154</v>
      </c>
      <c r="D479">
        <v>72</v>
      </c>
      <c r="E479">
        <v>29</v>
      </c>
      <c r="F479">
        <v>126</v>
      </c>
      <c r="G479" t="str">
        <f>IF(Table1[[#This Row],[BMI]]&lt;18.5,"Underweight",IF(Table1[[#This Row],[BMI]]&lt;25,"Normal",IF(Table1[[#This Row],[BMI]]&lt;30,"Overweight","Obese")))</f>
        <v>Obese</v>
      </c>
      <c r="H479">
        <v>31.3</v>
      </c>
      <c r="I479">
        <v>0.33800000000000002</v>
      </c>
      <c r="J479" t="str">
        <f>IF(Table1[[#This Row],[Age]]&lt;30,"Young (&lt;30)",IF(Table1[[#This Row],[Age]]&lt;=50,"Middle Age (30-50)","Older (&gt;50)"))</f>
        <v>Middle Age (30-50)</v>
      </c>
      <c r="K479">
        <v>37</v>
      </c>
      <c r="L479">
        <v>0</v>
      </c>
    </row>
    <row r="480" spans="1:12" x14ac:dyDescent="0.3">
      <c r="A480">
        <v>4</v>
      </c>
      <c r="B480" t="str">
        <f>IF(Table1[[#This Row],[Glucose]]&lt;100,"Normal",IF(Table1[[#This Row],[Glucose]]&lt;126,"Prediabetes","High Risk"))</f>
        <v>High Risk</v>
      </c>
      <c r="C480">
        <v>183</v>
      </c>
      <c r="D480">
        <v>0</v>
      </c>
      <c r="E480">
        <v>0</v>
      </c>
      <c r="F480">
        <v>0</v>
      </c>
      <c r="G480" t="str">
        <f>IF(Table1[[#This Row],[BMI]]&lt;18.5,"Underweight",IF(Table1[[#This Row],[BMI]]&lt;25,"Normal",IF(Table1[[#This Row],[BMI]]&lt;30,"Overweight","Obese")))</f>
        <v>Overweight</v>
      </c>
      <c r="H480">
        <v>28.4</v>
      </c>
      <c r="I480">
        <v>0.21199999999999999</v>
      </c>
      <c r="J480" t="str">
        <f>IF(Table1[[#This Row],[Age]]&lt;30,"Young (&lt;30)",IF(Table1[[#This Row],[Age]]&lt;=50,"Middle Age (30-50)","Older (&gt;50)"))</f>
        <v>Middle Age (30-50)</v>
      </c>
      <c r="K480">
        <v>36</v>
      </c>
      <c r="L480">
        <v>1</v>
      </c>
    </row>
    <row r="481" spans="1:12" x14ac:dyDescent="0.3">
      <c r="A481">
        <v>4</v>
      </c>
      <c r="B481" t="str">
        <f>IF(Table1[[#This Row],[Glucose]]&lt;100,"Normal",IF(Table1[[#This Row],[Glucose]]&lt;126,"Prediabetes","High Risk"))</f>
        <v>Normal</v>
      </c>
      <c r="C481">
        <v>90</v>
      </c>
      <c r="D481">
        <v>88</v>
      </c>
      <c r="E481">
        <v>47</v>
      </c>
      <c r="F481">
        <v>54</v>
      </c>
      <c r="G481" t="str">
        <f>IF(Table1[[#This Row],[BMI]]&lt;18.5,"Underweight",IF(Table1[[#This Row],[BMI]]&lt;25,"Normal",IF(Table1[[#This Row],[BMI]]&lt;30,"Overweight","Obese")))</f>
        <v>Obese</v>
      </c>
      <c r="H481">
        <v>37.700000000000003</v>
      </c>
      <c r="I481">
        <v>0.36199999999999999</v>
      </c>
      <c r="J481" t="str">
        <f>IF(Table1[[#This Row],[Age]]&lt;30,"Young (&lt;30)",IF(Table1[[#This Row],[Age]]&lt;=50,"Middle Age (30-50)","Older (&gt;50)"))</f>
        <v>Young (&lt;30)</v>
      </c>
      <c r="K481">
        <v>29</v>
      </c>
      <c r="L481">
        <v>0</v>
      </c>
    </row>
    <row r="482" spans="1:12" x14ac:dyDescent="0.3">
      <c r="A482">
        <v>4</v>
      </c>
      <c r="B482" t="str">
        <f>IF(Table1[[#This Row],[Glucose]]&lt;100,"Normal",IF(Table1[[#This Row],[Glucose]]&lt;126,"Prediabetes","High Risk"))</f>
        <v>Normal</v>
      </c>
      <c r="C482">
        <v>94</v>
      </c>
      <c r="D482">
        <v>65</v>
      </c>
      <c r="E482">
        <v>22</v>
      </c>
      <c r="F482">
        <v>0</v>
      </c>
      <c r="G482" t="str">
        <f>IF(Table1[[#This Row],[BMI]]&lt;18.5,"Underweight",IF(Table1[[#This Row],[BMI]]&lt;25,"Normal",IF(Table1[[#This Row],[BMI]]&lt;30,"Overweight","Obese")))</f>
        <v>Normal</v>
      </c>
      <c r="H482">
        <v>24.7</v>
      </c>
      <c r="I482">
        <v>0.14799999999999999</v>
      </c>
      <c r="J482" t="str">
        <f>IF(Table1[[#This Row],[Age]]&lt;30,"Young (&lt;30)",IF(Table1[[#This Row],[Age]]&lt;=50,"Middle Age (30-50)","Older (&gt;50)"))</f>
        <v>Young (&lt;30)</v>
      </c>
      <c r="K482">
        <v>21</v>
      </c>
      <c r="L482">
        <v>0</v>
      </c>
    </row>
    <row r="483" spans="1:12" x14ac:dyDescent="0.3">
      <c r="A483">
        <v>4</v>
      </c>
      <c r="B483" t="str">
        <f>IF(Table1[[#This Row],[Glucose]]&lt;100,"Normal",IF(Table1[[#This Row],[Glucose]]&lt;126,"Prediabetes","High Risk"))</f>
        <v>High Risk</v>
      </c>
      <c r="C483">
        <v>128</v>
      </c>
      <c r="D483">
        <v>70</v>
      </c>
      <c r="E483">
        <v>0</v>
      </c>
      <c r="F483">
        <v>0</v>
      </c>
      <c r="G483" t="str">
        <f>IF(Table1[[#This Row],[BMI]]&lt;18.5,"Underweight",IF(Table1[[#This Row],[BMI]]&lt;25,"Normal",IF(Table1[[#This Row],[BMI]]&lt;30,"Overweight","Obese")))</f>
        <v>Obese</v>
      </c>
      <c r="H483">
        <v>34.299999999999997</v>
      </c>
      <c r="I483">
        <v>0.30299999999999999</v>
      </c>
      <c r="J483" t="str">
        <f>IF(Table1[[#This Row],[Age]]&lt;30,"Young (&lt;30)",IF(Table1[[#This Row],[Age]]&lt;=50,"Middle Age (30-50)","Older (&gt;50)"))</f>
        <v>Young (&lt;30)</v>
      </c>
      <c r="K483">
        <v>24</v>
      </c>
      <c r="L483">
        <v>0</v>
      </c>
    </row>
    <row r="484" spans="1:12" x14ac:dyDescent="0.3">
      <c r="A484">
        <v>4</v>
      </c>
      <c r="B484" t="str">
        <f>IF(Table1[[#This Row],[Glucose]]&lt;100,"Normal",IF(Table1[[#This Row],[Glucose]]&lt;126,"Prediabetes","High Risk"))</f>
        <v>Normal</v>
      </c>
      <c r="C484">
        <v>90</v>
      </c>
      <c r="D484">
        <v>0</v>
      </c>
      <c r="E484">
        <v>0</v>
      </c>
      <c r="F484">
        <v>0</v>
      </c>
      <c r="G484" t="str">
        <f>IF(Table1[[#This Row],[BMI]]&lt;18.5,"Underweight",IF(Table1[[#This Row],[BMI]]&lt;25,"Normal",IF(Table1[[#This Row],[BMI]]&lt;30,"Overweight","Obese")))</f>
        <v>Overweight</v>
      </c>
      <c r="H484">
        <v>28</v>
      </c>
      <c r="I484">
        <v>0.61</v>
      </c>
      <c r="J484" t="str">
        <f>IF(Table1[[#This Row],[Age]]&lt;30,"Young (&lt;30)",IF(Table1[[#This Row],[Age]]&lt;=50,"Middle Age (30-50)","Older (&gt;50)"))</f>
        <v>Middle Age (30-50)</v>
      </c>
      <c r="K484">
        <v>31</v>
      </c>
      <c r="L484">
        <v>0</v>
      </c>
    </row>
    <row r="485" spans="1:12" x14ac:dyDescent="0.3">
      <c r="A485">
        <v>4</v>
      </c>
      <c r="B485" t="str">
        <f>IF(Table1[[#This Row],[Glucose]]&lt;100,"Normal",IF(Table1[[#This Row],[Glucose]]&lt;126,"Prediabetes","High Risk"))</f>
        <v>High Risk</v>
      </c>
      <c r="C485">
        <v>145</v>
      </c>
      <c r="D485">
        <v>82</v>
      </c>
      <c r="E485">
        <v>18</v>
      </c>
      <c r="F485">
        <v>0</v>
      </c>
      <c r="G485" t="str">
        <f>IF(Table1[[#This Row],[BMI]]&lt;18.5,"Underweight",IF(Table1[[#This Row],[BMI]]&lt;25,"Normal",IF(Table1[[#This Row],[BMI]]&lt;30,"Overweight","Obese")))</f>
        <v>Obese</v>
      </c>
      <c r="H485">
        <v>32.5</v>
      </c>
      <c r="I485">
        <v>0.23499999999999999</v>
      </c>
      <c r="J485" t="str">
        <f>IF(Table1[[#This Row],[Age]]&lt;30,"Young (&lt;30)",IF(Table1[[#This Row],[Age]]&lt;=50,"Middle Age (30-50)","Older (&gt;50)"))</f>
        <v>Older (&gt;50)</v>
      </c>
      <c r="K485">
        <v>70</v>
      </c>
      <c r="L485">
        <v>1</v>
      </c>
    </row>
    <row r="486" spans="1:12" x14ac:dyDescent="0.3">
      <c r="A486">
        <v>4</v>
      </c>
      <c r="B486" t="str">
        <f>IF(Table1[[#This Row],[Glucose]]&lt;100,"Normal",IF(Table1[[#This Row],[Glucose]]&lt;126,"Prediabetes","High Risk"))</f>
        <v>Prediabetes</v>
      </c>
      <c r="C486">
        <v>125</v>
      </c>
      <c r="D486">
        <v>80</v>
      </c>
      <c r="E486">
        <v>0</v>
      </c>
      <c r="F486">
        <v>0</v>
      </c>
      <c r="G486" t="str">
        <f>IF(Table1[[#This Row],[BMI]]&lt;18.5,"Underweight",IF(Table1[[#This Row],[BMI]]&lt;25,"Normal",IF(Table1[[#This Row],[BMI]]&lt;30,"Overweight","Obese")))</f>
        <v>Obese</v>
      </c>
      <c r="H486">
        <v>32.299999999999997</v>
      </c>
      <c r="I486">
        <v>0.53600000000000003</v>
      </c>
      <c r="J486" t="str">
        <f>IF(Table1[[#This Row],[Age]]&lt;30,"Young (&lt;30)",IF(Table1[[#This Row],[Age]]&lt;=50,"Middle Age (30-50)","Older (&gt;50)"))</f>
        <v>Young (&lt;30)</v>
      </c>
      <c r="K486">
        <v>27</v>
      </c>
      <c r="L486">
        <v>1</v>
      </c>
    </row>
    <row r="487" spans="1:12" x14ac:dyDescent="0.3">
      <c r="A487">
        <v>4</v>
      </c>
      <c r="B487" t="str">
        <f>IF(Table1[[#This Row],[Glucose]]&lt;100,"Normal",IF(Table1[[#This Row],[Glucose]]&lt;126,"Prediabetes","High Risk"))</f>
        <v>High Risk</v>
      </c>
      <c r="C487">
        <v>127</v>
      </c>
      <c r="D487">
        <v>88</v>
      </c>
      <c r="E487">
        <v>11</v>
      </c>
      <c r="F487">
        <v>155</v>
      </c>
      <c r="G487" t="str">
        <f>IF(Table1[[#This Row],[BMI]]&lt;18.5,"Underweight",IF(Table1[[#This Row],[BMI]]&lt;25,"Normal",IF(Table1[[#This Row],[BMI]]&lt;30,"Overweight","Obese")))</f>
        <v>Obese</v>
      </c>
      <c r="H487">
        <v>34.5</v>
      </c>
      <c r="I487">
        <v>0.59799999999999998</v>
      </c>
      <c r="J487" t="str">
        <f>IF(Table1[[#This Row],[Age]]&lt;30,"Young (&lt;30)",IF(Table1[[#This Row],[Age]]&lt;=50,"Middle Age (30-50)","Older (&gt;50)"))</f>
        <v>Young (&lt;30)</v>
      </c>
      <c r="K487">
        <v>28</v>
      </c>
      <c r="L487">
        <v>0</v>
      </c>
    </row>
    <row r="488" spans="1:12" x14ac:dyDescent="0.3">
      <c r="A488">
        <v>4</v>
      </c>
      <c r="B488" t="str">
        <f>IF(Table1[[#This Row],[Glucose]]&lt;100,"Normal",IF(Table1[[#This Row],[Glucose]]&lt;126,"Prediabetes","High Risk"))</f>
        <v>Prediabetes</v>
      </c>
      <c r="C488">
        <v>118</v>
      </c>
      <c r="D488">
        <v>70</v>
      </c>
      <c r="E488">
        <v>0</v>
      </c>
      <c r="F488">
        <v>0</v>
      </c>
      <c r="G488" t="str">
        <f>IF(Table1[[#This Row],[BMI]]&lt;18.5,"Underweight",IF(Table1[[#This Row],[BMI]]&lt;25,"Normal",IF(Table1[[#This Row],[BMI]]&lt;30,"Overweight","Obese")))</f>
        <v>Obese</v>
      </c>
      <c r="H488">
        <v>44.5</v>
      </c>
      <c r="I488">
        <v>0.90400000000000003</v>
      </c>
      <c r="J488" t="str">
        <f>IF(Table1[[#This Row],[Age]]&lt;30,"Young (&lt;30)",IF(Table1[[#This Row],[Age]]&lt;=50,"Middle Age (30-50)","Older (&gt;50)"))</f>
        <v>Young (&lt;30)</v>
      </c>
      <c r="K488">
        <v>26</v>
      </c>
      <c r="L488">
        <v>0</v>
      </c>
    </row>
    <row r="489" spans="1:12" x14ac:dyDescent="0.3">
      <c r="A489">
        <v>4</v>
      </c>
      <c r="B489" t="str">
        <f>IF(Table1[[#This Row],[Glucose]]&lt;100,"Normal",IF(Table1[[#This Row],[Glucose]]&lt;126,"Prediabetes","High Risk"))</f>
        <v>Prediabetes</v>
      </c>
      <c r="C489">
        <v>110</v>
      </c>
      <c r="D489">
        <v>76</v>
      </c>
      <c r="E489">
        <v>20</v>
      </c>
      <c r="F489">
        <v>100</v>
      </c>
      <c r="G489" t="str">
        <f>IF(Table1[[#This Row],[BMI]]&lt;18.5,"Underweight",IF(Table1[[#This Row],[BMI]]&lt;25,"Normal",IF(Table1[[#This Row],[BMI]]&lt;30,"Overweight","Obese")))</f>
        <v>Overweight</v>
      </c>
      <c r="H489">
        <v>28.4</v>
      </c>
      <c r="I489">
        <v>0.11799999999999999</v>
      </c>
      <c r="J489" t="str">
        <f>IF(Table1[[#This Row],[Age]]&lt;30,"Young (&lt;30)",IF(Table1[[#This Row],[Age]]&lt;=50,"Middle Age (30-50)","Older (&gt;50)"))</f>
        <v>Young (&lt;30)</v>
      </c>
      <c r="K489">
        <v>27</v>
      </c>
      <c r="L489">
        <v>0</v>
      </c>
    </row>
    <row r="490" spans="1:12" x14ac:dyDescent="0.3">
      <c r="A490">
        <v>4</v>
      </c>
      <c r="B490" t="str">
        <f>IF(Table1[[#This Row],[Glucose]]&lt;100,"Normal",IF(Table1[[#This Row],[Glucose]]&lt;126,"Prediabetes","High Risk"))</f>
        <v>Normal</v>
      </c>
      <c r="C490">
        <v>83</v>
      </c>
      <c r="D490">
        <v>86</v>
      </c>
      <c r="E490">
        <v>19</v>
      </c>
      <c r="F490">
        <v>0</v>
      </c>
      <c r="G490" t="str">
        <f>IF(Table1[[#This Row],[BMI]]&lt;18.5,"Underweight",IF(Table1[[#This Row],[BMI]]&lt;25,"Normal",IF(Table1[[#This Row],[BMI]]&lt;30,"Overweight","Obese")))</f>
        <v>Overweight</v>
      </c>
      <c r="H490">
        <v>29.3</v>
      </c>
      <c r="I490">
        <v>0.317</v>
      </c>
      <c r="J490" t="str">
        <f>IF(Table1[[#This Row],[Age]]&lt;30,"Young (&lt;30)",IF(Table1[[#This Row],[Age]]&lt;=50,"Middle Age (30-50)","Older (&gt;50)"))</f>
        <v>Middle Age (30-50)</v>
      </c>
      <c r="K490">
        <v>34</v>
      </c>
      <c r="L490">
        <v>0</v>
      </c>
    </row>
    <row r="491" spans="1:12" x14ac:dyDescent="0.3">
      <c r="A491">
        <v>4</v>
      </c>
      <c r="B491" t="str">
        <f>IF(Table1[[#This Row],[Glucose]]&lt;100,"Normal",IF(Table1[[#This Row],[Glucose]]&lt;126,"Prediabetes","High Risk"))</f>
        <v>Prediabetes</v>
      </c>
      <c r="C491">
        <v>112</v>
      </c>
      <c r="D491">
        <v>78</v>
      </c>
      <c r="E491">
        <v>40</v>
      </c>
      <c r="F491">
        <v>0</v>
      </c>
      <c r="G491" t="str">
        <f>IF(Table1[[#This Row],[BMI]]&lt;18.5,"Underweight",IF(Table1[[#This Row],[BMI]]&lt;25,"Normal",IF(Table1[[#This Row],[BMI]]&lt;30,"Overweight","Obese")))</f>
        <v>Obese</v>
      </c>
      <c r="H491">
        <v>39.4</v>
      </c>
      <c r="I491">
        <v>0.23599999999999999</v>
      </c>
      <c r="J491" t="str">
        <f>IF(Table1[[#This Row],[Age]]&lt;30,"Young (&lt;30)",IF(Table1[[#This Row],[Age]]&lt;=50,"Middle Age (30-50)","Older (&gt;50)"))</f>
        <v>Middle Age (30-50)</v>
      </c>
      <c r="K491">
        <v>38</v>
      </c>
      <c r="L491">
        <v>0</v>
      </c>
    </row>
    <row r="492" spans="1:12" x14ac:dyDescent="0.3">
      <c r="A492">
        <v>4</v>
      </c>
      <c r="B492" t="str">
        <f>IF(Table1[[#This Row],[Glucose]]&lt;100,"Normal",IF(Table1[[#This Row],[Glucose]]&lt;126,"Prediabetes","High Risk"))</f>
        <v>Normal</v>
      </c>
      <c r="C492">
        <v>95</v>
      </c>
      <c r="D492">
        <v>60</v>
      </c>
      <c r="E492">
        <v>32</v>
      </c>
      <c r="F492">
        <v>0</v>
      </c>
      <c r="G492" t="str">
        <f>IF(Table1[[#This Row],[BMI]]&lt;18.5,"Underweight",IF(Table1[[#This Row],[BMI]]&lt;25,"Normal",IF(Table1[[#This Row],[BMI]]&lt;30,"Overweight","Obese")))</f>
        <v>Obese</v>
      </c>
      <c r="H492">
        <v>35.4</v>
      </c>
      <c r="I492">
        <v>0.28399999999999997</v>
      </c>
      <c r="J492" t="str">
        <f>IF(Table1[[#This Row],[Age]]&lt;30,"Young (&lt;30)",IF(Table1[[#This Row],[Age]]&lt;=50,"Middle Age (30-50)","Older (&gt;50)"))</f>
        <v>Young (&lt;30)</v>
      </c>
      <c r="K492">
        <v>28</v>
      </c>
      <c r="L492">
        <v>0</v>
      </c>
    </row>
    <row r="493" spans="1:12" x14ac:dyDescent="0.3">
      <c r="A493">
        <v>4</v>
      </c>
      <c r="B493" t="str">
        <f>IF(Table1[[#This Row],[Glucose]]&lt;100,"Normal",IF(Table1[[#This Row],[Glucose]]&lt;126,"Prediabetes","High Risk"))</f>
        <v>High Risk</v>
      </c>
      <c r="C493">
        <v>136</v>
      </c>
      <c r="D493">
        <v>70</v>
      </c>
      <c r="E493">
        <v>0</v>
      </c>
      <c r="F493">
        <v>0</v>
      </c>
      <c r="G493" t="str">
        <f>IF(Table1[[#This Row],[BMI]]&lt;18.5,"Underweight",IF(Table1[[#This Row],[BMI]]&lt;25,"Normal",IF(Table1[[#This Row],[BMI]]&lt;30,"Overweight","Obese")))</f>
        <v>Obese</v>
      </c>
      <c r="H493">
        <v>31.2</v>
      </c>
      <c r="I493">
        <v>1.1819999999999999</v>
      </c>
      <c r="J493" t="str">
        <f>IF(Table1[[#This Row],[Age]]&lt;30,"Young (&lt;30)",IF(Table1[[#This Row],[Age]]&lt;=50,"Middle Age (30-50)","Older (&gt;50)"))</f>
        <v>Young (&lt;30)</v>
      </c>
      <c r="K493">
        <v>22</v>
      </c>
      <c r="L493">
        <v>1</v>
      </c>
    </row>
    <row r="494" spans="1:12" x14ac:dyDescent="0.3">
      <c r="A494">
        <v>5</v>
      </c>
      <c r="B494" t="str">
        <f>IF(Table1[[#This Row],[Glucose]]&lt;100,"Normal",IF(Table1[[#This Row],[Glucose]]&lt;126,"Prediabetes","High Risk"))</f>
        <v>Prediabetes</v>
      </c>
      <c r="C494">
        <v>116</v>
      </c>
      <c r="D494">
        <v>74</v>
      </c>
      <c r="E494">
        <v>0</v>
      </c>
      <c r="F494">
        <v>0</v>
      </c>
      <c r="G494" t="str">
        <f>IF(Table1[[#This Row],[BMI]]&lt;18.5,"Underweight",IF(Table1[[#This Row],[BMI]]&lt;25,"Normal",IF(Table1[[#This Row],[BMI]]&lt;30,"Overweight","Obese")))</f>
        <v>Overweight</v>
      </c>
      <c r="H494">
        <v>25.6</v>
      </c>
      <c r="I494">
        <v>0.20100000000000001</v>
      </c>
      <c r="J494" t="str">
        <f>IF(Table1[[#This Row],[Age]]&lt;30,"Young (&lt;30)",IF(Table1[[#This Row],[Age]]&lt;=50,"Middle Age (30-50)","Older (&gt;50)"))</f>
        <v>Middle Age (30-50)</v>
      </c>
      <c r="K494">
        <v>30</v>
      </c>
      <c r="L494">
        <v>0</v>
      </c>
    </row>
    <row r="495" spans="1:12" x14ac:dyDescent="0.3">
      <c r="A495">
        <v>5</v>
      </c>
      <c r="B495" t="str">
        <f>IF(Table1[[#This Row],[Glucose]]&lt;100,"Normal",IF(Table1[[#This Row],[Glucose]]&lt;126,"Prediabetes","High Risk"))</f>
        <v>High Risk</v>
      </c>
      <c r="C495">
        <v>166</v>
      </c>
      <c r="D495">
        <v>72</v>
      </c>
      <c r="E495">
        <v>19</v>
      </c>
      <c r="F495">
        <v>175</v>
      </c>
      <c r="G495" t="str">
        <f>IF(Table1[[#This Row],[BMI]]&lt;18.5,"Underweight",IF(Table1[[#This Row],[BMI]]&lt;25,"Normal",IF(Table1[[#This Row],[BMI]]&lt;30,"Overweight","Obese")))</f>
        <v>Overweight</v>
      </c>
      <c r="H495">
        <v>25.8</v>
      </c>
      <c r="I495">
        <v>0.58699999999999997</v>
      </c>
      <c r="J495" t="str">
        <f>IF(Table1[[#This Row],[Age]]&lt;30,"Young (&lt;30)",IF(Table1[[#This Row],[Age]]&lt;=50,"Middle Age (30-50)","Older (&gt;50)"))</f>
        <v>Older (&gt;50)</v>
      </c>
      <c r="K495">
        <v>51</v>
      </c>
      <c r="L495">
        <v>1</v>
      </c>
    </row>
    <row r="496" spans="1:12" x14ac:dyDescent="0.3">
      <c r="A496">
        <v>5</v>
      </c>
      <c r="B496" t="str">
        <f>IF(Table1[[#This Row],[Glucose]]&lt;100,"Normal",IF(Table1[[#This Row],[Glucose]]&lt;126,"Prediabetes","High Risk"))</f>
        <v>Prediabetes</v>
      </c>
      <c r="C496">
        <v>117</v>
      </c>
      <c r="D496">
        <v>92</v>
      </c>
      <c r="E496">
        <v>0</v>
      </c>
      <c r="F496">
        <v>0</v>
      </c>
      <c r="G496" t="str">
        <f>IF(Table1[[#This Row],[BMI]]&lt;18.5,"Underweight",IF(Table1[[#This Row],[BMI]]&lt;25,"Normal",IF(Table1[[#This Row],[BMI]]&lt;30,"Overweight","Obese")))</f>
        <v>Obese</v>
      </c>
      <c r="H496">
        <v>34.1</v>
      </c>
      <c r="I496">
        <v>0.33700000000000002</v>
      </c>
      <c r="J496" t="str">
        <f>IF(Table1[[#This Row],[Age]]&lt;30,"Young (&lt;30)",IF(Table1[[#This Row],[Age]]&lt;=50,"Middle Age (30-50)","Older (&gt;50)"))</f>
        <v>Middle Age (30-50)</v>
      </c>
      <c r="K496">
        <v>38</v>
      </c>
      <c r="L496">
        <v>0</v>
      </c>
    </row>
    <row r="497" spans="1:12" x14ac:dyDescent="0.3">
      <c r="A497">
        <v>5</v>
      </c>
      <c r="B497" t="str">
        <f>IF(Table1[[#This Row],[Glucose]]&lt;100,"Normal",IF(Table1[[#This Row],[Glucose]]&lt;126,"Prediabetes","High Risk"))</f>
        <v>Prediabetes</v>
      </c>
      <c r="C497">
        <v>109</v>
      </c>
      <c r="D497">
        <v>75</v>
      </c>
      <c r="E497">
        <v>26</v>
      </c>
      <c r="F497">
        <v>0</v>
      </c>
      <c r="G497" t="str">
        <f>IF(Table1[[#This Row],[BMI]]&lt;18.5,"Underweight",IF(Table1[[#This Row],[BMI]]&lt;25,"Normal",IF(Table1[[#This Row],[BMI]]&lt;30,"Overweight","Obese")))</f>
        <v>Obese</v>
      </c>
      <c r="H497">
        <v>36</v>
      </c>
      <c r="I497">
        <v>0.54600000000000004</v>
      </c>
      <c r="J497" t="str">
        <f>IF(Table1[[#This Row],[Age]]&lt;30,"Young (&lt;30)",IF(Table1[[#This Row],[Age]]&lt;=50,"Middle Age (30-50)","Older (&gt;50)"))</f>
        <v>Older (&gt;50)</v>
      </c>
      <c r="K497">
        <v>60</v>
      </c>
      <c r="L497">
        <v>0</v>
      </c>
    </row>
    <row r="498" spans="1:12" x14ac:dyDescent="0.3">
      <c r="A498">
        <v>5</v>
      </c>
      <c r="B498" t="str">
        <f>IF(Table1[[#This Row],[Glucose]]&lt;100,"Normal",IF(Table1[[#This Row],[Glucose]]&lt;126,"Prediabetes","High Risk"))</f>
        <v>Normal</v>
      </c>
      <c r="C498">
        <v>88</v>
      </c>
      <c r="D498">
        <v>66</v>
      </c>
      <c r="E498">
        <v>21</v>
      </c>
      <c r="F498">
        <v>23</v>
      </c>
      <c r="G498" t="str">
        <f>IF(Table1[[#This Row],[BMI]]&lt;18.5,"Underweight",IF(Table1[[#This Row],[BMI]]&lt;25,"Normal",IF(Table1[[#This Row],[BMI]]&lt;30,"Overweight","Obese")))</f>
        <v>Normal</v>
      </c>
      <c r="H498">
        <v>24.4</v>
      </c>
      <c r="I498">
        <v>0.34200000000000003</v>
      </c>
      <c r="J498" t="str">
        <f>IF(Table1[[#This Row],[Age]]&lt;30,"Young (&lt;30)",IF(Table1[[#This Row],[Age]]&lt;=50,"Middle Age (30-50)","Older (&gt;50)"))</f>
        <v>Middle Age (30-50)</v>
      </c>
      <c r="K498">
        <v>30</v>
      </c>
      <c r="L498">
        <v>0</v>
      </c>
    </row>
    <row r="499" spans="1:12" x14ac:dyDescent="0.3">
      <c r="A499">
        <v>5</v>
      </c>
      <c r="B499" t="str">
        <f>IF(Table1[[#This Row],[Glucose]]&lt;100,"Normal",IF(Table1[[#This Row],[Glucose]]&lt;126,"Prediabetes","High Risk"))</f>
        <v>Normal</v>
      </c>
      <c r="C499">
        <v>44</v>
      </c>
      <c r="D499">
        <v>62</v>
      </c>
      <c r="E499">
        <v>0</v>
      </c>
      <c r="F499">
        <v>0</v>
      </c>
      <c r="G499" t="str">
        <f>IF(Table1[[#This Row],[BMI]]&lt;18.5,"Underweight",IF(Table1[[#This Row],[BMI]]&lt;25,"Normal",IF(Table1[[#This Row],[BMI]]&lt;30,"Overweight","Obese")))</f>
        <v>Overweight</v>
      </c>
      <c r="H499">
        <v>25</v>
      </c>
      <c r="I499">
        <v>0.58699999999999997</v>
      </c>
      <c r="J499" t="str">
        <f>IF(Table1[[#This Row],[Age]]&lt;30,"Young (&lt;30)",IF(Table1[[#This Row],[Age]]&lt;=50,"Middle Age (30-50)","Older (&gt;50)"))</f>
        <v>Middle Age (30-50)</v>
      </c>
      <c r="K499">
        <v>36</v>
      </c>
      <c r="L499">
        <v>0</v>
      </c>
    </row>
    <row r="500" spans="1:12" x14ac:dyDescent="0.3">
      <c r="A500">
        <v>5</v>
      </c>
      <c r="B500" t="str">
        <f>IF(Table1[[#This Row],[Glucose]]&lt;100,"Normal",IF(Table1[[#This Row],[Glucose]]&lt;126,"Prediabetes","High Risk"))</f>
        <v>Normal</v>
      </c>
      <c r="C500">
        <v>99</v>
      </c>
      <c r="D500">
        <v>74</v>
      </c>
      <c r="E500">
        <v>27</v>
      </c>
      <c r="F500">
        <v>0</v>
      </c>
      <c r="G500" t="str">
        <f>IF(Table1[[#This Row],[BMI]]&lt;18.5,"Underweight",IF(Table1[[#This Row],[BMI]]&lt;25,"Normal",IF(Table1[[#This Row],[BMI]]&lt;30,"Overweight","Obese")))</f>
        <v>Overweight</v>
      </c>
      <c r="H500">
        <v>29</v>
      </c>
      <c r="I500">
        <v>0.20300000000000001</v>
      </c>
      <c r="J500" t="str">
        <f>IF(Table1[[#This Row],[Age]]&lt;30,"Young (&lt;30)",IF(Table1[[#This Row],[Age]]&lt;=50,"Middle Age (30-50)","Older (&gt;50)"))</f>
        <v>Middle Age (30-50)</v>
      </c>
      <c r="K500">
        <v>32</v>
      </c>
      <c r="L500">
        <v>0</v>
      </c>
    </row>
    <row r="501" spans="1:12" x14ac:dyDescent="0.3">
      <c r="A501">
        <v>5</v>
      </c>
      <c r="B501" t="str">
        <f>IF(Table1[[#This Row],[Glucose]]&lt;100,"Normal",IF(Table1[[#This Row],[Glucose]]&lt;126,"Prediabetes","High Risk"))</f>
        <v>High Risk</v>
      </c>
      <c r="C501">
        <v>139</v>
      </c>
      <c r="D501">
        <v>64</v>
      </c>
      <c r="E501">
        <v>35</v>
      </c>
      <c r="F501">
        <v>140</v>
      </c>
      <c r="G501" t="str">
        <f>IF(Table1[[#This Row],[BMI]]&lt;18.5,"Underweight",IF(Table1[[#This Row],[BMI]]&lt;25,"Normal",IF(Table1[[#This Row],[BMI]]&lt;30,"Overweight","Obese")))</f>
        <v>Overweight</v>
      </c>
      <c r="H501">
        <v>28.6</v>
      </c>
      <c r="I501">
        <v>0.41099999999999998</v>
      </c>
      <c r="J501" t="str">
        <f>IF(Table1[[#This Row],[Age]]&lt;30,"Young (&lt;30)",IF(Table1[[#This Row],[Age]]&lt;=50,"Middle Age (30-50)","Older (&gt;50)"))</f>
        <v>Young (&lt;30)</v>
      </c>
      <c r="K501">
        <v>26</v>
      </c>
      <c r="L501">
        <v>0</v>
      </c>
    </row>
    <row r="502" spans="1:12" x14ac:dyDescent="0.3">
      <c r="A502">
        <v>5</v>
      </c>
      <c r="B502" t="str">
        <f>IF(Table1[[#This Row],[Glucose]]&lt;100,"Normal",IF(Table1[[#This Row],[Glucose]]&lt;126,"Prediabetes","High Risk"))</f>
        <v>Normal</v>
      </c>
      <c r="C502">
        <v>95</v>
      </c>
      <c r="D502">
        <v>72</v>
      </c>
      <c r="E502">
        <v>33</v>
      </c>
      <c r="F502">
        <v>0</v>
      </c>
      <c r="G502" t="str">
        <f>IF(Table1[[#This Row],[BMI]]&lt;18.5,"Underweight",IF(Table1[[#This Row],[BMI]]&lt;25,"Normal",IF(Table1[[#This Row],[BMI]]&lt;30,"Overweight","Obese")))</f>
        <v>Obese</v>
      </c>
      <c r="H502">
        <v>37.700000000000003</v>
      </c>
      <c r="I502">
        <v>0.37</v>
      </c>
      <c r="J502" t="str">
        <f>IF(Table1[[#This Row],[Age]]&lt;30,"Young (&lt;30)",IF(Table1[[#This Row],[Age]]&lt;=50,"Middle Age (30-50)","Older (&gt;50)"))</f>
        <v>Young (&lt;30)</v>
      </c>
      <c r="K502">
        <v>27</v>
      </c>
      <c r="L502">
        <v>0</v>
      </c>
    </row>
    <row r="503" spans="1:12" x14ac:dyDescent="0.3">
      <c r="A503">
        <v>5</v>
      </c>
      <c r="B503" t="str">
        <f>IF(Table1[[#This Row],[Glucose]]&lt;100,"Normal",IF(Table1[[#This Row],[Glucose]]&lt;126,"Prediabetes","High Risk"))</f>
        <v>High Risk</v>
      </c>
      <c r="C503">
        <v>137</v>
      </c>
      <c r="D503">
        <v>108</v>
      </c>
      <c r="E503">
        <v>0</v>
      </c>
      <c r="F503">
        <v>0</v>
      </c>
      <c r="G503" t="str">
        <f>IF(Table1[[#This Row],[BMI]]&lt;18.5,"Underweight",IF(Table1[[#This Row],[BMI]]&lt;25,"Normal",IF(Table1[[#This Row],[BMI]]&lt;30,"Overweight","Obese")))</f>
        <v>Obese</v>
      </c>
      <c r="H503">
        <v>48.8</v>
      </c>
      <c r="I503">
        <v>0.22700000000000001</v>
      </c>
      <c r="J503" t="str">
        <f>IF(Table1[[#This Row],[Age]]&lt;30,"Young (&lt;30)",IF(Table1[[#This Row],[Age]]&lt;=50,"Middle Age (30-50)","Older (&gt;50)"))</f>
        <v>Middle Age (30-50)</v>
      </c>
      <c r="K503">
        <v>37</v>
      </c>
      <c r="L503">
        <v>1</v>
      </c>
    </row>
    <row r="504" spans="1:12" x14ac:dyDescent="0.3">
      <c r="A504">
        <v>5</v>
      </c>
      <c r="B504" t="str">
        <f>IF(Table1[[#This Row],[Glucose]]&lt;100,"Normal",IF(Table1[[#This Row],[Glucose]]&lt;126,"Prediabetes","High Risk"))</f>
        <v>Prediabetes</v>
      </c>
      <c r="C504">
        <v>124</v>
      </c>
      <c r="D504">
        <v>74</v>
      </c>
      <c r="E504">
        <v>0</v>
      </c>
      <c r="F504">
        <v>0</v>
      </c>
      <c r="G504" t="str">
        <f>IF(Table1[[#This Row],[BMI]]&lt;18.5,"Underweight",IF(Table1[[#This Row],[BMI]]&lt;25,"Normal",IF(Table1[[#This Row],[BMI]]&lt;30,"Overweight","Obese")))</f>
        <v>Obese</v>
      </c>
      <c r="H504">
        <v>34</v>
      </c>
      <c r="I504">
        <v>0.22</v>
      </c>
      <c r="J504" t="str">
        <f>IF(Table1[[#This Row],[Age]]&lt;30,"Young (&lt;30)",IF(Table1[[#This Row],[Age]]&lt;=50,"Middle Age (30-50)","Older (&gt;50)"))</f>
        <v>Middle Age (30-50)</v>
      </c>
      <c r="K504">
        <v>38</v>
      </c>
      <c r="L504">
        <v>1</v>
      </c>
    </row>
    <row r="505" spans="1:12" x14ac:dyDescent="0.3">
      <c r="A505">
        <v>5</v>
      </c>
      <c r="B505" t="str">
        <f>IF(Table1[[#This Row],[Glucose]]&lt;100,"Normal",IF(Table1[[#This Row],[Glucose]]&lt;126,"Prediabetes","High Risk"))</f>
        <v>Normal</v>
      </c>
      <c r="C505">
        <v>78</v>
      </c>
      <c r="D505">
        <v>48</v>
      </c>
      <c r="E505">
        <v>0</v>
      </c>
      <c r="F505">
        <v>0</v>
      </c>
      <c r="G505" t="str">
        <f>IF(Table1[[#This Row],[BMI]]&lt;18.5,"Underweight",IF(Table1[[#This Row],[BMI]]&lt;25,"Normal",IF(Table1[[#This Row],[BMI]]&lt;30,"Overweight","Obese")))</f>
        <v>Obese</v>
      </c>
      <c r="H505">
        <v>33.700000000000003</v>
      </c>
      <c r="I505">
        <v>0.65400000000000003</v>
      </c>
      <c r="J505" t="str">
        <f>IF(Table1[[#This Row],[Age]]&lt;30,"Young (&lt;30)",IF(Table1[[#This Row],[Age]]&lt;=50,"Middle Age (30-50)","Older (&gt;50)"))</f>
        <v>Young (&lt;30)</v>
      </c>
      <c r="K505">
        <v>25</v>
      </c>
      <c r="L505">
        <v>0</v>
      </c>
    </row>
    <row r="506" spans="1:12" x14ac:dyDescent="0.3">
      <c r="A506">
        <v>5</v>
      </c>
      <c r="B506" t="str">
        <f>IF(Table1[[#This Row],[Glucose]]&lt;100,"Normal",IF(Table1[[#This Row],[Glucose]]&lt;126,"Prediabetes","High Risk"))</f>
        <v>High Risk</v>
      </c>
      <c r="C506">
        <v>132</v>
      </c>
      <c r="D506">
        <v>80</v>
      </c>
      <c r="E506">
        <v>0</v>
      </c>
      <c r="F506">
        <v>0</v>
      </c>
      <c r="G506" t="str">
        <f>IF(Table1[[#This Row],[BMI]]&lt;18.5,"Underweight",IF(Table1[[#This Row],[BMI]]&lt;25,"Normal",IF(Table1[[#This Row],[BMI]]&lt;30,"Overweight","Obese")))</f>
        <v>Overweight</v>
      </c>
      <c r="H506">
        <v>26.8</v>
      </c>
      <c r="I506">
        <v>0.186</v>
      </c>
      <c r="J506" t="str">
        <f>IF(Table1[[#This Row],[Age]]&lt;30,"Young (&lt;30)",IF(Table1[[#This Row],[Age]]&lt;=50,"Middle Age (30-50)","Older (&gt;50)"))</f>
        <v>Older (&gt;50)</v>
      </c>
      <c r="K506">
        <v>69</v>
      </c>
      <c r="L506">
        <v>0</v>
      </c>
    </row>
    <row r="507" spans="1:12" x14ac:dyDescent="0.3">
      <c r="A507">
        <v>5</v>
      </c>
      <c r="B507" t="str">
        <f>IF(Table1[[#This Row],[Glucose]]&lt;100,"Normal",IF(Table1[[#This Row],[Glucose]]&lt;126,"Prediabetes","High Risk"))</f>
        <v>Prediabetes</v>
      </c>
      <c r="C507">
        <v>105</v>
      </c>
      <c r="D507">
        <v>72</v>
      </c>
      <c r="E507">
        <v>29</v>
      </c>
      <c r="F507">
        <v>325</v>
      </c>
      <c r="G507" t="str">
        <f>IF(Table1[[#This Row],[BMI]]&lt;18.5,"Underweight",IF(Table1[[#This Row],[BMI]]&lt;25,"Normal",IF(Table1[[#This Row],[BMI]]&lt;30,"Overweight","Obese")))</f>
        <v>Obese</v>
      </c>
      <c r="H507">
        <v>36.9</v>
      </c>
      <c r="I507">
        <v>0.159</v>
      </c>
      <c r="J507" t="str">
        <f>IF(Table1[[#This Row],[Age]]&lt;30,"Young (&lt;30)",IF(Table1[[#This Row],[Age]]&lt;=50,"Middle Age (30-50)","Older (&gt;50)"))</f>
        <v>Young (&lt;30)</v>
      </c>
      <c r="K507">
        <v>28</v>
      </c>
      <c r="L507">
        <v>0</v>
      </c>
    </row>
    <row r="508" spans="1:12" x14ac:dyDescent="0.3">
      <c r="A508">
        <v>5</v>
      </c>
      <c r="B508" t="str">
        <f>IF(Table1[[#This Row],[Glucose]]&lt;100,"Normal",IF(Table1[[#This Row],[Glucose]]&lt;126,"Prediabetes","High Risk"))</f>
        <v>Prediabetes</v>
      </c>
      <c r="C508">
        <v>106</v>
      </c>
      <c r="D508">
        <v>82</v>
      </c>
      <c r="E508">
        <v>30</v>
      </c>
      <c r="F508">
        <v>0</v>
      </c>
      <c r="G508" t="str">
        <f>IF(Table1[[#This Row],[BMI]]&lt;18.5,"Underweight",IF(Table1[[#This Row],[BMI]]&lt;25,"Normal",IF(Table1[[#This Row],[BMI]]&lt;30,"Overweight","Obese")))</f>
        <v>Obese</v>
      </c>
      <c r="H508">
        <v>39.5</v>
      </c>
      <c r="I508">
        <v>0.28599999999999998</v>
      </c>
      <c r="J508" t="str">
        <f>IF(Table1[[#This Row],[Age]]&lt;30,"Young (&lt;30)",IF(Table1[[#This Row],[Age]]&lt;=50,"Middle Age (30-50)","Older (&gt;50)"))</f>
        <v>Middle Age (30-50)</v>
      </c>
      <c r="K508">
        <v>38</v>
      </c>
      <c r="L508">
        <v>0</v>
      </c>
    </row>
    <row r="509" spans="1:12" x14ac:dyDescent="0.3">
      <c r="A509">
        <v>5</v>
      </c>
      <c r="B509" t="str">
        <f>IF(Table1[[#This Row],[Glucose]]&lt;100,"Normal",IF(Table1[[#This Row],[Glucose]]&lt;126,"Prediabetes","High Risk"))</f>
        <v>High Risk</v>
      </c>
      <c r="C509">
        <v>147</v>
      </c>
      <c r="D509">
        <v>78</v>
      </c>
      <c r="E509">
        <v>0</v>
      </c>
      <c r="F509">
        <v>0</v>
      </c>
      <c r="G509" t="str">
        <f>IF(Table1[[#This Row],[BMI]]&lt;18.5,"Underweight",IF(Table1[[#This Row],[BMI]]&lt;25,"Normal",IF(Table1[[#This Row],[BMI]]&lt;30,"Overweight","Obese")))</f>
        <v>Obese</v>
      </c>
      <c r="H509">
        <v>33.700000000000003</v>
      </c>
      <c r="I509">
        <v>0.218</v>
      </c>
      <c r="J509" t="str">
        <f>IF(Table1[[#This Row],[Age]]&lt;30,"Young (&lt;30)",IF(Table1[[#This Row],[Age]]&lt;=50,"Middle Age (30-50)","Older (&gt;50)"))</f>
        <v>Older (&gt;50)</v>
      </c>
      <c r="K509">
        <v>65</v>
      </c>
      <c r="L509">
        <v>0</v>
      </c>
    </row>
    <row r="510" spans="1:12" x14ac:dyDescent="0.3">
      <c r="A510">
        <v>5</v>
      </c>
      <c r="B510" t="str">
        <f>IF(Table1[[#This Row],[Glucose]]&lt;100,"Normal",IF(Table1[[#This Row],[Glucose]]&lt;126,"Prediabetes","High Risk"))</f>
        <v>High Risk</v>
      </c>
      <c r="C510">
        <v>143</v>
      </c>
      <c r="D510">
        <v>78</v>
      </c>
      <c r="E510">
        <v>0</v>
      </c>
      <c r="F510">
        <v>0</v>
      </c>
      <c r="G510" t="str">
        <f>IF(Table1[[#This Row],[BMI]]&lt;18.5,"Underweight",IF(Table1[[#This Row],[BMI]]&lt;25,"Normal",IF(Table1[[#This Row],[BMI]]&lt;30,"Overweight","Obese")))</f>
        <v>Obese</v>
      </c>
      <c r="H510">
        <v>45</v>
      </c>
      <c r="I510">
        <v>0.19</v>
      </c>
      <c r="J510" t="str">
        <f>IF(Table1[[#This Row],[Age]]&lt;30,"Young (&lt;30)",IF(Table1[[#This Row],[Age]]&lt;=50,"Middle Age (30-50)","Older (&gt;50)"))</f>
        <v>Middle Age (30-50)</v>
      </c>
      <c r="K510">
        <v>47</v>
      </c>
      <c r="L510">
        <v>0</v>
      </c>
    </row>
    <row r="511" spans="1:12" x14ac:dyDescent="0.3">
      <c r="A511">
        <v>5</v>
      </c>
      <c r="B511" t="str">
        <f>IF(Table1[[#This Row],[Glucose]]&lt;100,"Normal",IF(Table1[[#This Row],[Glucose]]&lt;126,"Prediabetes","High Risk"))</f>
        <v>High Risk</v>
      </c>
      <c r="C511">
        <v>130</v>
      </c>
      <c r="D511">
        <v>82</v>
      </c>
      <c r="E511">
        <v>0</v>
      </c>
      <c r="F511">
        <v>0</v>
      </c>
      <c r="G511" t="str">
        <f>IF(Table1[[#This Row],[BMI]]&lt;18.5,"Underweight",IF(Table1[[#This Row],[BMI]]&lt;25,"Normal",IF(Table1[[#This Row],[BMI]]&lt;30,"Overweight","Obese")))</f>
        <v>Obese</v>
      </c>
      <c r="H511">
        <v>39.1</v>
      </c>
      <c r="I511">
        <v>0.95599999999999996</v>
      </c>
      <c r="J511" t="str">
        <f>IF(Table1[[#This Row],[Age]]&lt;30,"Young (&lt;30)",IF(Table1[[#This Row],[Age]]&lt;=50,"Middle Age (30-50)","Older (&gt;50)"))</f>
        <v>Middle Age (30-50)</v>
      </c>
      <c r="K511">
        <v>37</v>
      </c>
      <c r="L511">
        <v>1</v>
      </c>
    </row>
    <row r="512" spans="1:12" x14ac:dyDescent="0.3">
      <c r="A512">
        <v>5</v>
      </c>
      <c r="B512" t="str">
        <f>IF(Table1[[#This Row],[Glucose]]&lt;100,"Normal",IF(Table1[[#This Row],[Glucose]]&lt;126,"Prediabetes","High Risk"))</f>
        <v>Normal</v>
      </c>
      <c r="C512">
        <v>73</v>
      </c>
      <c r="D512">
        <v>60</v>
      </c>
      <c r="E512">
        <v>0</v>
      </c>
      <c r="F512">
        <v>0</v>
      </c>
      <c r="G512" t="str">
        <f>IF(Table1[[#This Row],[BMI]]&lt;18.5,"Underweight",IF(Table1[[#This Row],[BMI]]&lt;25,"Normal",IF(Table1[[#This Row],[BMI]]&lt;30,"Overweight","Obese")))</f>
        <v>Overweight</v>
      </c>
      <c r="H512">
        <v>26.8</v>
      </c>
      <c r="I512">
        <v>0.26800000000000002</v>
      </c>
      <c r="J512" t="str">
        <f>IF(Table1[[#This Row],[Age]]&lt;30,"Young (&lt;30)",IF(Table1[[#This Row],[Age]]&lt;=50,"Middle Age (30-50)","Older (&gt;50)"))</f>
        <v>Young (&lt;30)</v>
      </c>
      <c r="K512">
        <v>27</v>
      </c>
      <c r="L512">
        <v>0</v>
      </c>
    </row>
    <row r="513" spans="1:12" x14ac:dyDescent="0.3">
      <c r="A513">
        <v>5</v>
      </c>
      <c r="B513" t="str">
        <f>IF(Table1[[#This Row],[Glucose]]&lt;100,"Normal",IF(Table1[[#This Row],[Glucose]]&lt;126,"Prediabetes","High Risk"))</f>
        <v>High Risk</v>
      </c>
      <c r="C513">
        <v>139</v>
      </c>
      <c r="D513">
        <v>80</v>
      </c>
      <c r="E513">
        <v>35</v>
      </c>
      <c r="F513">
        <v>160</v>
      </c>
      <c r="G513" t="str">
        <f>IF(Table1[[#This Row],[BMI]]&lt;18.5,"Underweight",IF(Table1[[#This Row],[BMI]]&lt;25,"Normal",IF(Table1[[#This Row],[BMI]]&lt;30,"Overweight","Obese")))</f>
        <v>Obese</v>
      </c>
      <c r="H513">
        <v>31.6</v>
      </c>
      <c r="I513">
        <v>0.36099999999999999</v>
      </c>
      <c r="J513" t="str">
        <f>IF(Table1[[#This Row],[Age]]&lt;30,"Young (&lt;30)",IF(Table1[[#This Row],[Age]]&lt;=50,"Middle Age (30-50)","Older (&gt;50)"))</f>
        <v>Young (&lt;30)</v>
      </c>
      <c r="K513">
        <v>25</v>
      </c>
      <c r="L513">
        <v>1</v>
      </c>
    </row>
    <row r="514" spans="1:12" x14ac:dyDescent="0.3">
      <c r="A514">
        <v>5</v>
      </c>
      <c r="B514" t="str">
        <f>IF(Table1[[#This Row],[Glucose]]&lt;100,"Normal",IF(Table1[[#This Row],[Glucose]]&lt;126,"Prediabetes","High Risk"))</f>
        <v>High Risk</v>
      </c>
      <c r="C514">
        <v>158</v>
      </c>
      <c r="D514">
        <v>84</v>
      </c>
      <c r="E514">
        <v>41</v>
      </c>
      <c r="F514">
        <v>210</v>
      </c>
      <c r="G514" t="str">
        <f>IF(Table1[[#This Row],[BMI]]&lt;18.5,"Underweight",IF(Table1[[#This Row],[BMI]]&lt;25,"Normal",IF(Table1[[#This Row],[BMI]]&lt;30,"Overweight","Obese")))</f>
        <v>Obese</v>
      </c>
      <c r="H514">
        <v>39.4</v>
      </c>
      <c r="I514">
        <v>0.39500000000000002</v>
      </c>
      <c r="J514" t="str">
        <f>IF(Table1[[#This Row],[Age]]&lt;30,"Young (&lt;30)",IF(Table1[[#This Row],[Age]]&lt;=50,"Middle Age (30-50)","Older (&gt;50)"))</f>
        <v>Young (&lt;30)</v>
      </c>
      <c r="K514">
        <v>29</v>
      </c>
      <c r="L514">
        <v>1</v>
      </c>
    </row>
    <row r="515" spans="1:12" x14ac:dyDescent="0.3">
      <c r="A515">
        <v>5</v>
      </c>
      <c r="B515" t="str">
        <f>IF(Table1[[#This Row],[Glucose]]&lt;100,"Normal",IF(Table1[[#This Row],[Glucose]]&lt;126,"Prediabetes","High Risk"))</f>
        <v>Prediabetes</v>
      </c>
      <c r="C515">
        <v>111</v>
      </c>
      <c r="D515">
        <v>72</v>
      </c>
      <c r="E515">
        <v>28</v>
      </c>
      <c r="F515">
        <v>0</v>
      </c>
      <c r="G515" t="str">
        <f>IF(Table1[[#This Row],[BMI]]&lt;18.5,"Underweight",IF(Table1[[#This Row],[BMI]]&lt;25,"Normal",IF(Table1[[#This Row],[BMI]]&lt;30,"Overweight","Obese")))</f>
        <v>Normal</v>
      </c>
      <c r="H515">
        <v>23.9</v>
      </c>
      <c r="I515">
        <v>0.40699999999999997</v>
      </c>
      <c r="J515" t="str">
        <f>IF(Table1[[#This Row],[Age]]&lt;30,"Young (&lt;30)",IF(Table1[[#This Row],[Age]]&lt;=50,"Middle Age (30-50)","Older (&gt;50)"))</f>
        <v>Young (&lt;30)</v>
      </c>
      <c r="K515">
        <v>27</v>
      </c>
      <c r="L515">
        <v>0</v>
      </c>
    </row>
    <row r="516" spans="1:12" x14ac:dyDescent="0.3">
      <c r="A516">
        <v>5</v>
      </c>
      <c r="B516" t="str">
        <f>IF(Table1[[#This Row],[Glucose]]&lt;100,"Normal",IF(Table1[[#This Row],[Glucose]]&lt;126,"Prediabetes","High Risk"))</f>
        <v>High Risk</v>
      </c>
      <c r="C516">
        <v>162</v>
      </c>
      <c r="D516">
        <v>104</v>
      </c>
      <c r="E516">
        <v>0</v>
      </c>
      <c r="F516">
        <v>0</v>
      </c>
      <c r="G516" t="str">
        <f>IF(Table1[[#This Row],[BMI]]&lt;18.5,"Underweight",IF(Table1[[#This Row],[BMI]]&lt;25,"Normal",IF(Table1[[#This Row],[BMI]]&lt;30,"Overweight","Obese")))</f>
        <v>Obese</v>
      </c>
      <c r="H516">
        <v>37.700000000000003</v>
      </c>
      <c r="I516">
        <v>0.151</v>
      </c>
      <c r="J516" t="str">
        <f>IF(Table1[[#This Row],[Age]]&lt;30,"Young (&lt;30)",IF(Table1[[#This Row],[Age]]&lt;=50,"Middle Age (30-50)","Older (&gt;50)"))</f>
        <v>Older (&gt;50)</v>
      </c>
      <c r="K516">
        <v>52</v>
      </c>
      <c r="L516">
        <v>1</v>
      </c>
    </row>
    <row r="517" spans="1:12" x14ac:dyDescent="0.3">
      <c r="A517">
        <v>5</v>
      </c>
      <c r="B517" t="str">
        <f>IF(Table1[[#This Row],[Glucose]]&lt;100,"Normal",IF(Table1[[#This Row],[Glucose]]&lt;126,"Prediabetes","High Risk"))</f>
        <v>Prediabetes</v>
      </c>
      <c r="C517">
        <v>109</v>
      </c>
      <c r="D517">
        <v>62</v>
      </c>
      <c r="E517">
        <v>41</v>
      </c>
      <c r="F517">
        <v>129</v>
      </c>
      <c r="G517" t="str">
        <f>IF(Table1[[#This Row],[BMI]]&lt;18.5,"Underweight",IF(Table1[[#This Row],[BMI]]&lt;25,"Normal",IF(Table1[[#This Row],[BMI]]&lt;30,"Overweight","Obese")))</f>
        <v>Obese</v>
      </c>
      <c r="H517">
        <v>35.799999999999997</v>
      </c>
      <c r="I517">
        <v>0.51400000000000001</v>
      </c>
      <c r="J517" t="str">
        <f>IF(Table1[[#This Row],[Age]]&lt;30,"Young (&lt;30)",IF(Table1[[#This Row],[Age]]&lt;=50,"Middle Age (30-50)","Older (&gt;50)"))</f>
        <v>Young (&lt;30)</v>
      </c>
      <c r="K517">
        <v>25</v>
      </c>
      <c r="L517">
        <v>1</v>
      </c>
    </row>
    <row r="518" spans="1:12" x14ac:dyDescent="0.3">
      <c r="A518">
        <v>5</v>
      </c>
      <c r="B518" t="str">
        <f>IF(Table1[[#This Row],[Glucose]]&lt;100,"Normal",IF(Table1[[#This Row],[Glucose]]&lt;126,"Prediabetes","High Risk"))</f>
        <v>Normal</v>
      </c>
      <c r="C518">
        <v>85</v>
      </c>
      <c r="D518">
        <v>74</v>
      </c>
      <c r="E518">
        <v>22</v>
      </c>
      <c r="F518">
        <v>0</v>
      </c>
      <c r="G518" t="str">
        <f>IF(Table1[[#This Row],[BMI]]&lt;18.5,"Underweight",IF(Table1[[#This Row],[BMI]]&lt;25,"Normal",IF(Table1[[#This Row],[BMI]]&lt;30,"Overweight","Obese")))</f>
        <v>Overweight</v>
      </c>
      <c r="H518">
        <v>29</v>
      </c>
      <c r="I518">
        <v>1.224</v>
      </c>
      <c r="J518" t="str">
        <f>IF(Table1[[#This Row],[Age]]&lt;30,"Young (&lt;30)",IF(Table1[[#This Row],[Age]]&lt;=50,"Middle Age (30-50)","Older (&gt;50)"))</f>
        <v>Middle Age (30-50)</v>
      </c>
      <c r="K518">
        <v>32</v>
      </c>
      <c r="L518">
        <v>1</v>
      </c>
    </row>
    <row r="519" spans="1:12" x14ac:dyDescent="0.3">
      <c r="A519">
        <v>5</v>
      </c>
      <c r="B519" t="str">
        <f>IF(Table1[[#This Row],[Glucose]]&lt;100,"Normal",IF(Table1[[#This Row],[Glucose]]&lt;126,"Prediabetes","High Risk"))</f>
        <v>Prediabetes</v>
      </c>
      <c r="C519">
        <v>112</v>
      </c>
      <c r="D519">
        <v>66</v>
      </c>
      <c r="E519">
        <v>0</v>
      </c>
      <c r="F519">
        <v>0</v>
      </c>
      <c r="G519" t="str">
        <f>IF(Table1[[#This Row],[BMI]]&lt;18.5,"Underweight",IF(Table1[[#This Row],[BMI]]&lt;25,"Normal",IF(Table1[[#This Row],[BMI]]&lt;30,"Overweight","Obese")))</f>
        <v>Obese</v>
      </c>
      <c r="H519">
        <v>37.799999999999997</v>
      </c>
      <c r="I519">
        <v>0.26100000000000001</v>
      </c>
      <c r="J519" t="str">
        <f>IF(Table1[[#This Row],[Age]]&lt;30,"Young (&lt;30)",IF(Table1[[#This Row],[Age]]&lt;=50,"Middle Age (30-50)","Older (&gt;50)"))</f>
        <v>Middle Age (30-50)</v>
      </c>
      <c r="K519">
        <v>41</v>
      </c>
      <c r="L519">
        <v>1</v>
      </c>
    </row>
    <row r="520" spans="1:12" x14ac:dyDescent="0.3">
      <c r="A520">
        <v>5</v>
      </c>
      <c r="B520" t="str">
        <f>IF(Table1[[#This Row],[Glucose]]&lt;100,"Normal",IF(Table1[[#This Row],[Glucose]]&lt;126,"Prediabetes","High Risk"))</f>
        <v>Normal</v>
      </c>
      <c r="C520">
        <v>96</v>
      </c>
      <c r="D520">
        <v>74</v>
      </c>
      <c r="E520">
        <v>18</v>
      </c>
      <c r="F520">
        <v>67</v>
      </c>
      <c r="G520" t="str">
        <f>IF(Table1[[#This Row],[BMI]]&lt;18.5,"Underweight",IF(Table1[[#This Row],[BMI]]&lt;25,"Normal",IF(Table1[[#This Row],[BMI]]&lt;30,"Overweight","Obese")))</f>
        <v>Obese</v>
      </c>
      <c r="H520">
        <v>33.6</v>
      </c>
      <c r="I520">
        <v>0.997</v>
      </c>
      <c r="J520" t="str">
        <f>IF(Table1[[#This Row],[Age]]&lt;30,"Young (&lt;30)",IF(Table1[[#This Row],[Age]]&lt;=50,"Middle Age (30-50)","Older (&gt;50)"))</f>
        <v>Middle Age (30-50)</v>
      </c>
      <c r="K520">
        <v>43</v>
      </c>
      <c r="L520">
        <v>0</v>
      </c>
    </row>
    <row r="521" spans="1:12" x14ac:dyDescent="0.3">
      <c r="A521">
        <v>5</v>
      </c>
      <c r="B521" t="str">
        <f>IF(Table1[[#This Row],[Glucose]]&lt;100,"Normal",IF(Table1[[#This Row],[Glucose]]&lt;126,"Prediabetes","High Risk"))</f>
        <v>Prediabetes</v>
      </c>
      <c r="C521">
        <v>114</v>
      </c>
      <c r="D521">
        <v>74</v>
      </c>
      <c r="E521">
        <v>0</v>
      </c>
      <c r="F521">
        <v>0</v>
      </c>
      <c r="G521" t="str">
        <f>IF(Table1[[#This Row],[BMI]]&lt;18.5,"Underweight",IF(Table1[[#This Row],[BMI]]&lt;25,"Normal",IF(Table1[[#This Row],[BMI]]&lt;30,"Overweight","Obese")))</f>
        <v>Normal</v>
      </c>
      <c r="H521">
        <v>24.9</v>
      </c>
      <c r="I521">
        <v>0.74399999999999999</v>
      </c>
      <c r="J521" t="str">
        <f>IF(Table1[[#This Row],[Age]]&lt;30,"Young (&lt;30)",IF(Table1[[#This Row],[Age]]&lt;=50,"Middle Age (30-50)","Older (&gt;50)"))</f>
        <v>Older (&gt;50)</v>
      </c>
      <c r="K521">
        <v>57</v>
      </c>
      <c r="L521">
        <v>0</v>
      </c>
    </row>
    <row r="522" spans="1:12" x14ac:dyDescent="0.3">
      <c r="A522">
        <v>5</v>
      </c>
      <c r="B522" t="str">
        <f>IF(Table1[[#This Row],[Glucose]]&lt;100,"Normal",IF(Table1[[#This Row],[Glucose]]&lt;126,"Prediabetes","High Risk"))</f>
        <v>High Risk</v>
      </c>
      <c r="C522">
        <v>155</v>
      </c>
      <c r="D522">
        <v>84</v>
      </c>
      <c r="E522">
        <v>44</v>
      </c>
      <c r="F522">
        <v>545</v>
      </c>
      <c r="G522" t="str">
        <f>IF(Table1[[#This Row],[BMI]]&lt;18.5,"Underweight",IF(Table1[[#This Row],[BMI]]&lt;25,"Normal",IF(Table1[[#This Row],[BMI]]&lt;30,"Overweight","Obese")))</f>
        <v>Obese</v>
      </c>
      <c r="H522">
        <v>38.700000000000003</v>
      </c>
      <c r="I522">
        <v>0.61899999999999999</v>
      </c>
      <c r="J522" t="str">
        <f>IF(Table1[[#This Row],[Age]]&lt;30,"Young (&lt;30)",IF(Table1[[#This Row],[Age]]&lt;=50,"Middle Age (30-50)","Older (&gt;50)"))</f>
        <v>Middle Age (30-50)</v>
      </c>
      <c r="K522">
        <v>34</v>
      </c>
      <c r="L522">
        <v>0</v>
      </c>
    </row>
    <row r="523" spans="1:12" x14ac:dyDescent="0.3">
      <c r="A523">
        <v>5</v>
      </c>
      <c r="B523" t="str">
        <f>IF(Table1[[#This Row],[Glucose]]&lt;100,"Normal",IF(Table1[[#This Row],[Glucose]]&lt;126,"Prediabetes","High Risk"))</f>
        <v>Prediabetes</v>
      </c>
      <c r="C523">
        <v>108</v>
      </c>
      <c r="D523">
        <v>72</v>
      </c>
      <c r="E523">
        <v>43</v>
      </c>
      <c r="F523">
        <v>75</v>
      </c>
      <c r="G523" t="str">
        <f>IF(Table1[[#This Row],[BMI]]&lt;18.5,"Underweight",IF(Table1[[#This Row],[BMI]]&lt;25,"Normal",IF(Table1[[#This Row],[BMI]]&lt;30,"Overweight","Obese")))</f>
        <v>Obese</v>
      </c>
      <c r="H523">
        <v>36.1</v>
      </c>
      <c r="I523">
        <v>0.26300000000000001</v>
      </c>
      <c r="J523" t="str">
        <f>IF(Table1[[#This Row],[Age]]&lt;30,"Young (&lt;30)",IF(Table1[[#This Row],[Age]]&lt;=50,"Middle Age (30-50)","Older (&gt;50)"))</f>
        <v>Middle Age (30-50)</v>
      </c>
      <c r="K523">
        <v>33</v>
      </c>
      <c r="L523">
        <v>0</v>
      </c>
    </row>
    <row r="524" spans="1:12" x14ac:dyDescent="0.3">
      <c r="A524">
        <v>5</v>
      </c>
      <c r="B524" t="str">
        <f>IF(Table1[[#This Row],[Glucose]]&lt;100,"Normal",IF(Table1[[#This Row],[Glucose]]&lt;126,"Prediabetes","High Risk"))</f>
        <v>Normal</v>
      </c>
      <c r="C524">
        <v>77</v>
      </c>
      <c r="D524">
        <v>82</v>
      </c>
      <c r="E524">
        <v>41</v>
      </c>
      <c r="F524">
        <v>42</v>
      </c>
      <c r="G524" t="str">
        <f>IF(Table1[[#This Row],[BMI]]&lt;18.5,"Underweight",IF(Table1[[#This Row],[BMI]]&lt;25,"Normal",IF(Table1[[#This Row],[BMI]]&lt;30,"Overweight","Obese")))</f>
        <v>Obese</v>
      </c>
      <c r="H524">
        <v>35.799999999999997</v>
      </c>
      <c r="I524">
        <v>0.156</v>
      </c>
      <c r="J524" t="str">
        <f>IF(Table1[[#This Row],[Age]]&lt;30,"Young (&lt;30)",IF(Table1[[#This Row],[Age]]&lt;=50,"Middle Age (30-50)","Older (&gt;50)"))</f>
        <v>Middle Age (30-50)</v>
      </c>
      <c r="K524">
        <v>35</v>
      </c>
      <c r="L524">
        <v>0</v>
      </c>
    </row>
    <row r="525" spans="1:12" x14ac:dyDescent="0.3">
      <c r="A525">
        <v>5</v>
      </c>
      <c r="B525" t="str">
        <f>IF(Table1[[#This Row],[Glucose]]&lt;100,"Normal",IF(Table1[[#This Row],[Glucose]]&lt;126,"Prediabetes","High Risk"))</f>
        <v>Prediabetes</v>
      </c>
      <c r="C525">
        <v>115</v>
      </c>
      <c r="D525">
        <v>98</v>
      </c>
      <c r="E525">
        <v>0</v>
      </c>
      <c r="F525">
        <v>0</v>
      </c>
      <c r="G525" t="str">
        <f>IF(Table1[[#This Row],[BMI]]&lt;18.5,"Underweight",IF(Table1[[#This Row],[BMI]]&lt;25,"Normal",IF(Table1[[#This Row],[BMI]]&lt;30,"Overweight","Obese")))</f>
        <v>Obese</v>
      </c>
      <c r="H525">
        <v>52.9</v>
      </c>
      <c r="I525">
        <v>0.20899999999999999</v>
      </c>
      <c r="J525" t="str">
        <f>IF(Table1[[#This Row],[Age]]&lt;30,"Young (&lt;30)",IF(Table1[[#This Row],[Age]]&lt;=50,"Middle Age (30-50)","Older (&gt;50)"))</f>
        <v>Young (&lt;30)</v>
      </c>
      <c r="K525">
        <v>28</v>
      </c>
      <c r="L525">
        <v>1</v>
      </c>
    </row>
    <row r="526" spans="1:12" x14ac:dyDescent="0.3">
      <c r="A526">
        <v>5</v>
      </c>
      <c r="B526" t="str">
        <f>IF(Table1[[#This Row],[Glucose]]&lt;100,"Normal",IF(Table1[[#This Row],[Glucose]]&lt;126,"Prediabetes","High Risk"))</f>
        <v>Prediabetes</v>
      </c>
      <c r="C526">
        <v>115</v>
      </c>
      <c r="D526">
        <v>76</v>
      </c>
      <c r="E526">
        <v>0</v>
      </c>
      <c r="F526">
        <v>0</v>
      </c>
      <c r="G526" t="str">
        <f>IF(Table1[[#This Row],[BMI]]&lt;18.5,"Underweight",IF(Table1[[#This Row],[BMI]]&lt;25,"Normal",IF(Table1[[#This Row],[BMI]]&lt;30,"Overweight","Obese")))</f>
        <v>Obese</v>
      </c>
      <c r="H526">
        <v>31.2</v>
      </c>
      <c r="I526">
        <v>0.34300000000000003</v>
      </c>
      <c r="J526" t="str">
        <f>IF(Table1[[#This Row],[Age]]&lt;30,"Young (&lt;30)",IF(Table1[[#This Row],[Age]]&lt;=50,"Middle Age (30-50)","Older (&gt;50)"))</f>
        <v>Middle Age (30-50)</v>
      </c>
      <c r="K526">
        <v>44</v>
      </c>
      <c r="L526">
        <v>1</v>
      </c>
    </row>
    <row r="527" spans="1:12" x14ac:dyDescent="0.3">
      <c r="A527">
        <v>5</v>
      </c>
      <c r="B527" t="str">
        <f>IF(Table1[[#This Row],[Glucose]]&lt;100,"Normal",IF(Table1[[#This Row],[Glucose]]&lt;126,"Prediabetes","High Risk"))</f>
        <v>Prediabetes</v>
      </c>
      <c r="C527">
        <v>122</v>
      </c>
      <c r="D527">
        <v>86</v>
      </c>
      <c r="E527">
        <v>0</v>
      </c>
      <c r="F527">
        <v>0</v>
      </c>
      <c r="G527" t="str">
        <f>IF(Table1[[#This Row],[BMI]]&lt;18.5,"Underweight",IF(Table1[[#This Row],[BMI]]&lt;25,"Normal",IF(Table1[[#This Row],[BMI]]&lt;30,"Overweight","Obese")))</f>
        <v>Obese</v>
      </c>
      <c r="H527">
        <v>34.700000000000003</v>
      </c>
      <c r="I527">
        <v>0.28999999999999998</v>
      </c>
      <c r="J527" t="str">
        <f>IF(Table1[[#This Row],[Age]]&lt;30,"Young (&lt;30)",IF(Table1[[#This Row],[Age]]&lt;=50,"Middle Age (30-50)","Older (&gt;50)"))</f>
        <v>Middle Age (30-50)</v>
      </c>
      <c r="K527">
        <v>33</v>
      </c>
      <c r="L527">
        <v>0</v>
      </c>
    </row>
    <row r="528" spans="1:12" x14ac:dyDescent="0.3">
      <c r="A528">
        <v>5</v>
      </c>
      <c r="B528" t="str">
        <f>IF(Table1[[#This Row],[Glucose]]&lt;100,"Normal",IF(Table1[[#This Row],[Glucose]]&lt;126,"Prediabetes","High Risk"))</f>
        <v>Normal</v>
      </c>
      <c r="C528">
        <v>0</v>
      </c>
      <c r="D528">
        <v>80</v>
      </c>
      <c r="E528">
        <v>32</v>
      </c>
      <c r="F528">
        <v>0</v>
      </c>
      <c r="G528" t="str">
        <f>IF(Table1[[#This Row],[BMI]]&lt;18.5,"Underweight",IF(Table1[[#This Row],[BMI]]&lt;25,"Normal",IF(Table1[[#This Row],[BMI]]&lt;30,"Overweight","Obese")))</f>
        <v>Obese</v>
      </c>
      <c r="H528">
        <v>41</v>
      </c>
      <c r="I528">
        <v>0.34599999999999997</v>
      </c>
      <c r="J528" t="str">
        <f>IF(Table1[[#This Row],[Age]]&lt;30,"Young (&lt;30)",IF(Table1[[#This Row],[Age]]&lt;=50,"Middle Age (30-50)","Older (&gt;50)"))</f>
        <v>Middle Age (30-50)</v>
      </c>
      <c r="K528">
        <v>37</v>
      </c>
      <c r="L528">
        <v>1</v>
      </c>
    </row>
    <row r="529" spans="1:12" x14ac:dyDescent="0.3">
      <c r="A529">
        <v>5</v>
      </c>
      <c r="B529" t="str">
        <f>IF(Table1[[#This Row],[Glucose]]&lt;100,"Normal",IF(Table1[[#This Row],[Glucose]]&lt;126,"Prediabetes","High Risk"))</f>
        <v>High Risk</v>
      </c>
      <c r="C529">
        <v>189</v>
      </c>
      <c r="D529">
        <v>64</v>
      </c>
      <c r="E529">
        <v>33</v>
      </c>
      <c r="F529">
        <v>325</v>
      </c>
      <c r="G529" t="str">
        <f>IF(Table1[[#This Row],[BMI]]&lt;18.5,"Underweight",IF(Table1[[#This Row],[BMI]]&lt;25,"Normal",IF(Table1[[#This Row],[BMI]]&lt;30,"Overweight","Obese")))</f>
        <v>Obese</v>
      </c>
      <c r="H529">
        <v>31.2</v>
      </c>
      <c r="I529">
        <v>0.58299999999999996</v>
      </c>
      <c r="J529" t="str">
        <f>IF(Table1[[#This Row],[Age]]&lt;30,"Young (&lt;30)",IF(Table1[[#This Row],[Age]]&lt;=50,"Middle Age (30-50)","Older (&gt;50)"))</f>
        <v>Young (&lt;30)</v>
      </c>
      <c r="K529">
        <v>29</v>
      </c>
      <c r="L529">
        <v>1</v>
      </c>
    </row>
    <row r="530" spans="1:12" x14ac:dyDescent="0.3">
      <c r="A530">
        <v>5</v>
      </c>
      <c r="B530" t="str">
        <f>IF(Table1[[#This Row],[Glucose]]&lt;100,"Normal",IF(Table1[[#This Row],[Glucose]]&lt;126,"Prediabetes","High Risk"))</f>
        <v>High Risk</v>
      </c>
      <c r="C530">
        <v>158</v>
      </c>
      <c r="D530">
        <v>70</v>
      </c>
      <c r="E530">
        <v>0</v>
      </c>
      <c r="F530">
        <v>0</v>
      </c>
      <c r="G530" t="str">
        <f>IF(Table1[[#This Row],[BMI]]&lt;18.5,"Underweight",IF(Table1[[#This Row],[BMI]]&lt;25,"Normal",IF(Table1[[#This Row],[BMI]]&lt;30,"Overweight","Obese")))</f>
        <v>Overweight</v>
      </c>
      <c r="H530">
        <v>29.8</v>
      </c>
      <c r="I530">
        <v>0.20699999999999999</v>
      </c>
      <c r="J530" t="str">
        <f>IF(Table1[[#This Row],[Age]]&lt;30,"Young (&lt;30)",IF(Table1[[#This Row],[Age]]&lt;=50,"Middle Age (30-50)","Older (&gt;50)"))</f>
        <v>Older (&gt;50)</v>
      </c>
      <c r="K530">
        <v>63</v>
      </c>
      <c r="L530">
        <v>0</v>
      </c>
    </row>
    <row r="531" spans="1:12" x14ac:dyDescent="0.3">
      <c r="A531">
        <v>5</v>
      </c>
      <c r="B531" t="str">
        <f>IF(Table1[[#This Row],[Glucose]]&lt;100,"Normal",IF(Table1[[#This Row],[Glucose]]&lt;126,"Prediabetes","High Risk"))</f>
        <v>Prediabetes</v>
      </c>
      <c r="C531">
        <v>103</v>
      </c>
      <c r="D531">
        <v>108</v>
      </c>
      <c r="E531">
        <v>37</v>
      </c>
      <c r="F531">
        <v>0</v>
      </c>
      <c r="G531" t="str">
        <f>IF(Table1[[#This Row],[BMI]]&lt;18.5,"Underweight",IF(Table1[[#This Row],[BMI]]&lt;25,"Normal",IF(Table1[[#This Row],[BMI]]&lt;30,"Overweight","Obese")))</f>
        <v>Obese</v>
      </c>
      <c r="H531">
        <v>39.200000000000003</v>
      </c>
      <c r="I531">
        <v>0.30499999999999999</v>
      </c>
      <c r="J531" t="str">
        <f>IF(Table1[[#This Row],[Age]]&lt;30,"Young (&lt;30)",IF(Table1[[#This Row],[Age]]&lt;=50,"Middle Age (30-50)","Older (&gt;50)"))</f>
        <v>Older (&gt;50)</v>
      </c>
      <c r="K531">
        <v>65</v>
      </c>
      <c r="L531">
        <v>0</v>
      </c>
    </row>
    <row r="532" spans="1:12" x14ac:dyDescent="0.3">
      <c r="A532">
        <v>5</v>
      </c>
      <c r="B532" t="str">
        <f>IF(Table1[[#This Row],[Glucose]]&lt;100,"Normal",IF(Table1[[#This Row],[Glucose]]&lt;126,"Prediabetes","High Risk"))</f>
        <v>Normal</v>
      </c>
      <c r="C532">
        <v>99</v>
      </c>
      <c r="D532">
        <v>54</v>
      </c>
      <c r="E532">
        <v>28</v>
      </c>
      <c r="F532">
        <v>83</v>
      </c>
      <c r="G532" t="str">
        <f>IF(Table1[[#This Row],[BMI]]&lt;18.5,"Underweight",IF(Table1[[#This Row],[BMI]]&lt;25,"Normal",IF(Table1[[#This Row],[BMI]]&lt;30,"Overweight","Obese")))</f>
        <v>Obese</v>
      </c>
      <c r="H532">
        <v>34</v>
      </c>
      <c r="I532">
        <v>0.499</v>
      </c>
      <c r="J532" t="str">
        <f>IF(Table1[[#This Row],[Age]]&lt;30,"Young (&lt;30)",IF(Table1[[#This Row],[Age]]&lt;=50,"Middle Age (30-50)","Older (&gt;50)"))</f>
        <v>Middle Age (30-50)</v>
      </c>
      <c r="K532">
        <v>30</v>
      </c>
      <c r="L532">
        <v>0</v>
      </c>
    </row>
    <row r="533" spans="1:12" x14ac:dyDescent="0.3">
      <c r="A533">
        <v>5</v>
      </c>
      <c r="B533" t="str">
        <f>IF(Table1[[#This Row],[Glucose]]&lt;100,"Normal",IF(Table1[[#This Row],[Glucose]]&lt;126,"Prediabetes","High Risk"))</f>
        <v>Prediabetes</v>
      </c>
      <c r="C533">
        <v>116</v>
      </c>
      <c r="D533">
        <v>74</v>
      </c>
      <c r="E533">
        <v>29</v>
      </c>
      <c r="F533">
        <v>0</v>
      </c>
      <c r="G533" t="str">
        <f>IF(Table1[[#This Row],[BMI]]&lt;18.5,"Underweight",IF(Table1[[#This Row],[BMI]]&lt;25,"Normal",IF(Table1[[#This Row],[BMI]]&lt;30,"Overweight","Obese")))</f>
        <v>Obese</v>
      </c>
      <c r="H533">
        <v>32.299999999999997</v>
      </c>
      <c r="I533">
        <v>0.66</v>
      </c>
      <c r="J533" t="str">
        <f>IF(Table1[[#This Row],[Age]]&lt;30,"Young (&lt;30)",IF(Table1[[#This Row],[Age]]&lt;=50,"Middle Age (30-50)","Older (&gt;50)"))</f>
        <v>Middle Age (30-50)</v>
      </c>
      <c r="K533">
        <v>35</v>
      </c>
      <c r="L533">
        <v>1</v>
      </c>
    </row>
    <row r="534" spans="1:12" x14ac:dyDescent="0.3">
      <c r="A534">
        <v>5</v>
      </c>
      <c r="B534" t="str">
        <f>IF(Table1[[#This Row],[Glucose]]&lt;100,"Normal",IF(Table1[[#This Row],[Glucose]]&lt;126,"Prediabetes","High Risk"))</f>
        <v>High Risk</v>
      </c>
      <c r="C534">
        <v>144</v>
      </c>
      <c r="D534">
        <v>82</v>
      </c>
      <c r="E534">
        <v>26</v>
      </c>
      <c r="F534">
        <v>285</v>
      </c>
      <c r="G534" t="str">
        <f>IF(Table1[[#This Row],[BMI]]&lt;18.5,"Underweight",IF(Table1[[#This Row],[BMI]]&lt;25,"Normal",IF(Table1[[#This Row],[BMI]]&lt;30,"Overweight","Obese")))</f>
        <v>Obese</v>
      </c>
      <c r="H534">
        <v>32</v>
      </c>
      <c r="I534">
        <v>0.45200000000000001</v>
      </c>
      <c r="J534" t="str">
        <f>IF(Table1[[#This Row],[Age]]&lt;30,"Young (&lt;30)",IF(Table1[[#This Row],[Age]]&lt;=50,"Middle Age (30-50)","Older (&gt;50)"))</f>
        <v>Older (&gt;50)</v>
      </c>
      <c r="K534">
        <v>58</v>
      </c>
      <c r="L534">
        <v>1</v>
      </c>
    </row>
    <row r="535" spans="1:12" x14ac:dyDescent="0.3">
      <c r="A535">
        <v>5</v>
      </c>
      <c r="B535" t="str">
        <f>IF(Table1[[#This Row],[Glucose]]&lt;100,"Normal",IF(Table1[[#This Row],[Glucose]]&lt;126,"Prediabetes","High Risk"))</f>
        <v>High Risk</v>
      </c>
      <c r="C535">
        <v>166</v>
      </c>
      <c r="D535">
        <v>76</v>
      </c>
      <c r="E535">
        <v>0</v>
      </c>
      <c r="F535">
        <v>0</v>
      </c>
      <c r="G535" t="str">
        <f>IF(Table1[[#This Row],[BMI]]&lt;18.5,"Underweight",IF(Table1[[#This Row],[BMI]]&lt;25,"Normal",IF(Table1[[#This Row],[BMI]]&lt;30,"Overweight","Obese")))</f>
        <v>Obese</v>
      </c>
      <c r="H535">
        <v>45.7</v>
      </c>
      <c r="I535">
        <v>0.34</v>
      </c>
      <c r="J535" t="str">
        <f>IF(Table1[[#This Row],[Age]]&lt;30,"Young (&lt;30)",IF(Table1[[#This Row],[Age]]&lt;=50,"Middle Age (30-50)","Older (&gt;50)"))</f>
        <v>Young (&lt;30)</v>
      </c>
      <c r="K535">
        <v>27</v>
      </c>
      <c r="L535">
        <v>1</v>
      </c>
    </row>
    <row r="536" spans="1:12" x14ac:dyDescent="0.3">
      <c r="A536">
        <v>5</v>
      </c>
      <c r="B536" t="str">
        <f>IF(Table1[[#This Row],[Glucose]]&lt;100,"Normal",IF(Table1[[#This Row],[Glucose]]&lt;126,"Prediabetes","High Risk"))</f>
        <v>High Risk</v>
      </c>
      <c r="C536">
        <v>136</v>
      </c>
      <c r="D536">
        <v>84</v>
      </c>
      <c r="E536">
        <v>41</v>
      </c>
      <c r="F536">
        <v>88</v>
      </c>
      <c r="G536" t="str">
        <f>IF(Table1[[#This Row],[BMI]]&lt;18.5,"Underweight",IF(Table1[[#This Row],[BMI]]&lt;25,"Normal",IF(Table1[[#This Row],[BMI]]&lt;30,"Overweight","Obese")))</f>
        <v>Obese</v>
      </c>
      <c r="H536">
        <v>35</v>
      </c>
      <c r="I536">
        <v>0.28599999999999998</v>
      </c>
      <c r="J536" t="str">
        <f>IF(Table1[[#This Row],[Age]]&lt;30,"Young (&lt;30)",IF(Table1[[#This Row],[Age]]&lt;=50,"Middle Age (30-50)","Older (&gt;50)"))</f>
        <v>Middle Age (30-50)</v>
      </c>
      <c r="K536">
        <v>35</v>
      </c>
      <c r="L536">
        <v>1</v>
      </c>
    </row>
    <row r="537" spans="1:12" x14ac:dyDescent="0.3">
      <c r="A537">
        <v>5</v>
      </c>
      <c r="B537" t="str">
        <f>IF(Table1[[#This Row],[Glucose]]&lt;100,"Normal",IF(Table1[[#This Row],[Glucose]]&lt;126,"Prediabetes","High Risk"))</f>
        <v>High Risk</v>
      </c>
      <c r="C537">
        <v>168</v>
      </c>
      <c r="D537">
        <v>64</v>
      </c>
      <c r="E537">
        <v>0</v>
      </c>
      <c r="F537">
        <v>0</v>
      </c>
      <c r="G537" t="str">
        <f>IF(Table1[[#This Row],[BMI]]&lt;18.5,"Underweight",IF(Table1[[#This Row],[BMI]]&lt;25,"Normal",IF(Table1[[#This Row],[BMI]]&lt;30,"Overweight","Obese")))</f>
        <v>Obese</v>
      </c>
      <c r="H537">
        <v>32.9</v>
      </c>
      <c r="I537">
        <v>0.13500000000000001</v>
      </c>
      <c r="J537" t="str">
        <f>IF(Table1[[#This Row],[Age]]&lt;30,"Young (&lt;30)",IF(Table1[[#This Row],[Age]]&lt;=50,"Middle Age (30-50)","Older (&gt;50)"))</f>
        <v>Middle Age (30-50)</v>
      </c>
      <c r="K537">
        <v>41</v>
      </c>
      <c r="L537">
        <v>1</v>
      </c>
    </row>
    <row r="538" spans="1:12" x14ac:dyDescent="0.3">
      <c r="A538">
        <v>5</v>
      </c>
      <c r="B538" t="str">
        <f>IF(Table1[[#This Row],[Glucose]]&lt;100,"Normal",IF(Table1[[#This Row],[Glucose]]&lt;126,"Prediabetes","High Risk"))</f>
        <v>High Risk</v>
      </c>
      <c r="C538">
        <v>147</v>
      </c>
      <c r="D538">
        <v>75</v>
      </c>
      <c r="E538">
        <v>0</v>
      </c>
      <c r="F538">
        <v>0</v>
      </c>
      <c r="G538" t="str">
        <f>IF(Table1[[#This Row],[BMI]]&lt;18.5,"Underweight",IF(Table1[[#This Row],[BMI]]&lt;25,"Normal",IF(Table1[[#This Row],[BMI]]&lt;30,"Overweight","Obese")))</f>
        <v>Overweight</v>
      </c>
      <c r="H538">
        <v>29.9</v>
      </c>
      <c r="I538">
        <v>0.434</v>
      </c>
      <c r="J538" t="str">
        <f>IF(Table1[[#This Row],[Age]]&lt;30,"Young (&lt;30)",IF(Table1[[#This Row],[Age]]&lt;=50,"Middle Age (30-50)","Older (&gt;50)"))</f>
        <v>Young (&lt;30)</v>
      </c>
      <c r="K538">
        <v>28</v>
      </c>
      <c r="L538">
        <v>0</v>
      </c>
    </row>
    <row r="539" spans="1:12" x14ac:dyDescent="0.3">
      <c r="A539">
        <v>5</v>
      </c>
      <c r="B539" t="str">
        <f>IF(Table1[[#This Row],[Glucose]]&lt;100,"Normal",IF(Table1[[#This Row],[Glucose]]&lt;126,"Prediabetes","High Risk"))</f>
        <v>Normal</v>
      </c>
      <c r="C539">
        <v>86</v>
      </c>
      <c r="D539">
        <v>68</v>
      </c>
      <c r="E539">
        <v>28</v>
      </c>
      <c r="F539">
        <v>71</v>
      </c>
      <c r="G539" t="str">
        <f>IF(Table1[[#This Row],[BMI]]&lt;18.5,"Underweight",IF(Table1[[#This Row],[BMI]]&lt;25,"Normal",IF(Table1[[#This Row],[BMI]]&lt;30,"Overweight","Obese")))</f>
        <v>Obese</v>
      </c>
      <c r="H539">
        <v>30.2</v>
      </c>
      <c r="I539">
        <v>0.36399999999999999</v>
      </c>
      <c r="J539" t="str">
        <f>IF(Table1[[#This Row],[Age]]&lt;30,"Young (&lt;30)",IF(Table1[[#This Row],[Age]]&lt;=50,"Middle Age (30-50)","Older (&gt;50)"))</f>
        <v>Young (&lt;30)</v>
      </c>
      <c r="K539">
        <v>24</v>
      </c>
      <c r="L539">
        <v>0</v>
      </c>
    </row>
    <row r="540" spans="1:12" x14ac:dyDescent="0.3">
      <c r="A540">
        <v>5</v>
      </c>
      <c r="B540" t="str">
        <f>IF(Table1[[#This Row],[Glucose]]&lt;100,"Normal",IF(Table1[[#This Row],[Glucose]]&lt;126,"Prediabetes","High Risk"))</f>
        <v>Normal</v>
      </c>
      <c r="C540">
        <v>88</v>
      </c>
      <c r="D540">
        <v>78</v>
      </c>
      <c r="E540">
        <v>30</v>
      </c>
      <c r="F540">
        <v>0</v>
      </c>
      <c r="G540" t="str">
        <f>IF(Table1[[#This Row],[BMI]]&lt;18.5,"Underweight",IF(Table1[[#This Row],[BMI]]&lt;25,"Normal",IF(Table1[[#This Row],[BMI]]&lt;30,"Overweight","Obese")))</f>
        <v>Overweight</v>
      </c>
      <c r="H540">
        <v>27.6</v>
      </c>
      <c r="I540">
        <v>0.25800000000000001</v>
      </c>
      <c r="J540" t="str">
        <f>IF(Table1[[#This Row],[Age]]&lt;30,"Young (&lt;30)",IF(Table1[[#This Row],[Age]]&lt;=50,"Middle Age (30-50)","Older (&gt;50)"))</f>
        <v>Middle Age (30-50)</v>
      </c>
      <c r="K540">
        <v>37</v>
      </c>
      <c r="L540">
        <v>0</v>
      </c>
    </row>
    <row r="541" spans="1:12" x14ac:dyDescent="0.3">
      <c r="A541">
        <v>5</v>
      </c>
      <c r="B541" t="str">
        <f>IF(Table1[[#This Row],[Glucose]]&lt;100,"Normal",IF(Table1[[#This Row],[Glucose]]&lt;126,"Prediabetes","High Risk"))</f>
        <v>Prediabetes</v>
      </c>
      <c r="C541">
        <v>110</v>
      </c>
      <c r="D541">
        <v>68</v>
      </c>
      <c r="E541">
        <v>0</v>
      </c>
      <c r="F541">
        <v>0</v>
      </c>
      <c r="G541" t="str">
        <f>IF(Table1[[#This Row],[BMI]]&lt;18.5,"Underweight",IF(Table1[[#This Row],[BMI]]&lt;25,"Normal",IF(Table1[[#This Row],[BMI]]&lt;30,"Overweight","Obese")))</f>
        <v>Overweight</v>
      </c>
      <c r="H541">
        <v>26</v>
      </c>
      <c r="I541">
        <v>0.29199999999999998</v>
      </c>
      <c r="J541" t="str">
        <f>IF(Table1[[#This Row],[Age]]&lt;30,"Young (&lt;30)",IF(Table1[[#This Row],[Age]]&lt;=50,"Middle Age (30-50)","Older (&gt;50)"))</f>
        <v>Middle Age (30-50)</v>
      </c>
      <c r="K541">
        <v>30</v>
      </c>
      <c r="L541">
        <v>0</v>
      </c>
    </row>
    <row r="542" spans="1:12" x14ac:dyDescent="0.3">
      <c r="A542">
        <v>5</v>
      </c>
      <c r="B542" t="str">
        <f>IF(Table1[[#This Row],[Glucose]]&lt;100,"Normal",IF(Table1[[#This Row],[Glucose]]&lt;126,"Prediabetes","High Risk"))</f>
        <v>High Risk</v>
      </c>
      <c r="C542">
        <v>187</v>
      </c>
      <c r="D542">
        <v>76</v>
      </c>
      <c r="E542">
        <v>27</v>
      </c>
      <c r="F542">
        <v>207</v>
      </c>
      <c r="G542" t="str">
        <f>IF(Table1[[#This Row],[BMI]]&lt;18.5,"Underweight",IF(Table1[[#This Row],[BMI]]&lt;25,"Normal",IF(Table1[[#This Row],[BMI]]&lt;30,"Overweight","Obese")))</f>
        <v>Obese</v>
      </c>
      <c r="H542">
        <v>43.6</v>
      </c>
      <c r="I542">
        <v>1.034</v>
      </c>
      <c r="J542" t="str">
        <f>IF(Table1[[#This Row],[Age]]&lt;30,"Young (&lt;30)",IF(Table1[[#This Row],[Age]]&lt;=50,"Middle Age (30-50)","Older (&gt;50)"))</f>
        <v>Older (&gt;50)</v>
      </c>
      <c r="K542">
        <v>53</v>
      </c>
      <c r="L542">
        <v>1</v>
      </c>
    </row>
    <row r="543" spans="1:12" x14ac:dyDescent="0.3">
      <c r="A543">
        <v>5</v>
      </c>
      <c r="B543" t="str">
        <f>IF(Table1[[#This Row],[Glucose]]&lt;100,"Normal",IF(Table1[[#This Row],[Glucose]]&lt;126,"Prediabetes","High Risk"))</f>
        <v>High Risk</v>
      </c>
      <c r="C543">
        <v>128</v>
      </c>
      <c r="D543">
        <v>80</v>
      </c>
      <c r="E543">
        <v>0</v>
      </c>
      <c r="F543">
        <v>0</v>
      </c>
      <c r="G543" t="str">
        <f>IF(Table1[[#This Row],[BMI]]&lt;18.5,"Underweight",IF(Table1[[#This Row],[BMI]]&lt;25,"Normal",IF(Table1[[#This Row],[BMI]]&lt;30,"Overweight","Obese")))</f>
        <v>Obese</v>
      </c>
      <c r="H543">
        <v>34.6</v>
      </c>
      <c r="I543">
        <v>0.14399999999999999</v>
      </c>
      <c r="J543" t="str">
        <f>IF(Table1[[#This Row],[Age]]&lt;30,"Young (&lt;30)",IF(Table1[[#This Row],[Age]]&lt;=50,"Middle Age (30-50)","Older (&gt;50)"))</f>
        <v>Middle Age (30-50)</v>
      </c>
      <c r="K543">
        <v>45</v>
      </c>
      <c r="L543">
        <v>0</v>
      </c>
    </row>
    <row r="544" spans="1:12" x14ac:dyDescent="0.3">
      <c r="A544">
        <v>5</v>
      </c>
      <c r="B544" t="str">
        <f>IF(Table1[[#This Row],[Glucose]]&lt;100,"Normal",IF(Table1[[#This Row],[Glucose]]&lt;126,"Prediabetes","High Risk"))</f>
        <v>Prediabetes</v>
      </c>
      <c r="C544">
        <v>104</v>
      </c>
      <c r="D544">
        <v>74</v>
      </c>
      <c r="E544">
        <v>0</v>
      </c>
      <c r="F544">
        <v>0</v>
      </c>
      <c r="G544" t="str">
        <f>IF(Table1[[#This Row],[BMI]]&lt;18.5,"Underweight",IF(Table1[[#This Row],[BMI]]&lt;25,"Normal",IF(Table1[[#This Row],[BMI]]&lt;30,"Overweight","Obese")))</f>
        <v>Overweight</v>
      </c>
      <c r="H544">
        <v>28.8</v>
      </c>
      <c r="I544">
        <v>0.153</v>
      </c>
      <c r="J544" t="str">
        <f>IF(Table1[[#This Row],[Age]]&lt;30,"Young (&lt;30)",IF(Table1[[#This Row],[Age]]&lt;=50,"Middle Age (30-50)","Older (&gt;50)"))</f>
        <v>Middle Age (30-50)</v>
      </c>
      <c r="K544">
        <v>48</v>
      </c>
      <c r="L544">
        <v>0</v>
      </c>
    </row>
    <row r="545" spans="1:12" x14ac:dyDescent="0.3">
      <c r="A545">
        <v>5</v>
      </c>
      <c r="B545" t="str">
        <f>IF(Table1[[#This Row],[Glucose]]&lt;100,"Normal",IF(Table1[[#This Row],[Glucose]]&lt;126,"Prediabetes","High Risk"))</f>
        <v>Prediabetes</v>
      </c>
      <c r="C545">
        <v>123</v>
      </c>
      <c r="D545">
        <v>74</v>
      </c>
      <c r="E545">
        <v>40</v>
      </c>
      <c r="F545">
        <v>77</v>
      </c>
      <c r="G545" t="str">
        <f>IF(Table1[[#This Row],[BMI]]&lt;18.5,"Underweight",IF(Table1[[#This Row],[BMI]]&lt;25,"Normal",IF(Table1[[#This Row],[BMI]]&lt;30,"Overweight","Obese")))</f>
        <v>Obese</v>
      </c>
      <c r="H545">
        <v>34.1</v>
      </c>
      <c r="I545">
        <v>0.26900000000000002</v>
      </c>
      <c r="J545" t="str">
        <f>IF(Table1[[#This Row],[Age]]&lt;30,"Young (&lt;30)",IF(Table1[[#This Row],[Age]]&lt;=50,"Middle Age (30-50)","Older (&gt;50)"))</f>
        <v>Young (&lt;30)</v>
      </c>
      <c r="K545">
        <v>28</v>
      </c>
      <c r="L545">
        <v>0</v>
      </c>
    </row>
    <row r="546" spans="1:12" x14ac:dyDescent="0.3">
      <c r="A546">
        <v>5</v>
      </c>
      <c r="B546" t="str">
        <f>IF(Table1[[#This Row],[Glucose]]&lt;100,"Normal",IF(Table1[[#This Row],[Glucose]]&lt;126,"Prediabetes","High Risk"))</f>
        <v>High Risk</v>
      </c>
      <c r="C546">
        <v>136</v>
      </c>
      <c r="D546">
        <v>82</v>
      </c>
      <c r="E546">
        <v>0</v>
      </c>
      <c r="F546">
        <v>0</v>
      </c>
      <c r="G546" t="str">
        <f>IF(Table1[[#This Row],[BMI]]&lt;18.5,"Underweight",IF(Table1[[#This Row],[BMI]]&lt;25,"Normal",IF(Table1[[#This Row],[BMI]]&lt;30,"Overweight","Obese")))</f>
        <v>Underweight</v>
      </c>
      <c r="H546">
        <v>0</v>
      </c>
      <c r="I546">
        <v>0.64</v>
      </c>
      <c r="J546" t="str">
        <f>IF(Table1[[#This Row],[Age]]&lt;30,"Young (&lt;30)",IF(Table1[[#This Row],[Age]]&lt;=50,"Middle Age (30-50)","Older (&gt;50)"))</f>
        <v>Older (&gt;50)</v>
      </c>
      <c r="K546">
        <v>69</v>
      </c>
      <c r="L546">
        <v>0</v>
      </c>
    </row>
    <row r="547" spans="1:12" x14ac:dyDescent="0.3">
      <c r="A547">
        <v>5</v>
      </c>
      <c r="B547" t="str">
        <f>IF(Table1[[#This Row],[Glucose]]&lt;100,"Normal",IF(Table1[[#This Row],[Glucose]]&lt;126,"Prediabetes","High Risk"))</f>
        <v>High Risk</v>
      </c>
      <c r="C547">
        <v>126</v>
      </c>
      <c r="D547">
        <v>78</v>
      </c>
      <c r="E547">
        <v>27</v>
      </c>
      <c r="F547">
        <v>22</v>
      </c>
      <c r="G547" t="str">
        <f>IF(Table1[[#This Row],[BMI]]&lt;18.5,"Underweight",IF(Table1[[#This Row],[BMI]]&lt;25,"Normal",IF(Table1[[#This Row],[BMI]]&lt;30,"Overweight","Obese")))</f>
        <v>Overweight</v>
      </c>
      <c r="H547">
        <v>29.6</v>
      </c>
      <c r="I547">
        <v>0.439</v>
      </c>
      <c r="J547" t="str">
        <f>IF(Table1[[#This Row],[Age]]&lt;30,"Young (&lt;30)",IF(Table1[[#This Row],[Age]]&lt;=50,"Middle Age (30-50)","Older (&gt;50)"))</f>
        <v>Middle Age (30-50)</v>
      </c>
      <c r="K547">
        <v>40</v>
      </c>
      <c r="L547">
        <v>0</v>
      </c>
    </row>
    <row r="548" spans="1:12" x14ac:dyDescent="0.3">
      <c r="A548">
        <v>5</v>
      </c>
      <c r="B548" t="str">
        <f>IF(Table1[[#This Row],[Glucose]]&lt;100,"Normal",IF(Table1[[#This Row],[Glucose]]&lt;126,"Prediabetes","High Risk"))</f>
        <v>Normal</v>
      </c>
      <c r="C548">
        <v>97</v>
      </c>
      <c r="D548">
        <v>76</v>
      </c>
      <c r="E548">
        <v>27</v>
      </c>
      <c r="F548">
        <v>0</v>
      </c>
      <c r="G548" t="str">
        <f>IF(Table1[[#This Row],[BMI]]&lt;18.5,"Underweight",IF(Table1[[#This Row],[BMI]]&lt;25,"Normal",IF(Table1[[#This Row],[BMI]]&lt;30,"Overweight","Obese")))</f>
        <v>Obese</v>
      </c>
      <c r="H548">
        <v>35.6</v>
      </c>
      <c r="I548">
        <v>0.378</v>
      </c>
      <c r="J548" t="str">
        <f>IF(Table1[[#This Row],[Age]]&lt;30,"Young (&lt;30)",IF(Table1[[#This Row],[Age]]&lt;=50,"Middle Age (30-50)","Older (&gt;50)"))</f>
        <v>Older (&gt;50)</v>
      </c>
      <c r="K548">
        <v>52</v>
      </c>
      <c r="L548">
        <v>1</v>
      </c>
    </row>
    <row r="549" spans="1:12" x14ac:dyDescent="0.3">
      <c r="A549">
        <v>5</v>
      </c>
      <c r="B549" t="str">
        <f>IF(Table1[[#This Row],[Glucose]]&lt;100,"Normal",IF(Table1[[#This Row],[Glucose]]&lt;126,"Prediabetes","High Risk"))</f>
        <v>Prediabetes</v>
      </c>
      <c r="C549">
        <v>117</v>
      </c>
      <c r="D549">
        <v>86</v>
      </c>
      <c r="E549">
        <v>30</v>
      </c>
      <c r="F549">
        <v>105</v>
      </c>
      <c r="G549" t="str">
        <f>IF(Table1[[#This Row],[BMI]]&lt;18.5,"Underweight",IF(Table1[[#This Row],[BMI]]&lt;25,"Normal",IF(Table1[[#This Row],[BMI]]&lt;30,"Overweight","Obese")))</f>
        <v>Obese</v>
      </c>
      <c r="H549">
        <v>39.1</v>
      </c>
      <c r="I549">
        <v>0.251</v>
      </c>
      <c r="J549" t="str">
        <f>IF(Table1[[#This Row],[Age]]&lt;30,"Young (&lt;30)",IF(Table1[[#This Row],[Age]]&lt;=50,"Middle Age (30-50)","Older (&gt;50)"))</f>
        <v>Middle Age (30-50)</v>
      </c>
      <c r="K549">
        <v>42</v>
      </c>
      <c r="L549">
        <v>0</v>
      </c>
    </row>
    <row r="550" spans="1:12" x14ac:dyDescent="0.3">
      <c r="A550">
        <v>5</v>
      </c>
      <c r="B550" t="str">
        <f>IF(Table1[[#This Row],[Glucose]]&lt;100,"Normal",IF(Table1[[#This Row],[Glucose]]&lt;126,"Prediabetes","High Risk"))</f>
        <v>Prediabetes</v>
      </c>
      <c r="C550">
        <v>121</v>
      </c>
      <c r="D550">
        <v>72</v>
      </c>
      <c r="E550">
        <v>23</v>
      </c>
      <c r="F550">
        <v>112</v>
      </c>
      <c r="G550" t="str">
        <f>IF(Table1[[#This Row],[BMI]]&lt;18.5,"Underweight",IF(Table1[[#This Row],[BMI]]&lt;25,"Normal",IF(Table1[[#This Row],[BMI]]&lt;30,"Overweight","Obese")))</f>
        <v>Overweight</v>
      </c>
      <c r="H550">
        <v>26.2</v>
      </c>
      <c r="I550">
        <v>0.245</v>
      </c>
      <c r="J550" t="str">
        <f>IF(Table1[[#This Row],[Age]]&lt;30,"Young (&lt;30)",IF(Table1[[#This Row],[Age]]&lt;=50,"Middle Age (30-50)","Older (&gt;50)"))</f>
        <v>Middle Age (30-50)</v>
      </c>
      <c r="K550">
        <v>30</v>
      </c>
      <c r="L550">
        <v>0</v>
      </c>
    </row>
    <row r="551" spans="1:12" x14ac:dyDescent="0.3">
      <c r="A551">
        <v>6</v>
      </c>
      <c r="B551" t="str">
        <f>IF(Table1[[#This Row],[Glucose]]&lt;100,"Normal",IF(Table1[[#This Row],[Glucose]]&lt;126,"Prediabetes","High Risk"))</f>
        <v>High Risk</v>
      </c>
      <c r="C551">
        <v>148</v>
      </c>
      <c r="D551">
        <v>72</v>
      </c>
      <c r="E551">
        <v>35</v>
      </c>
      <c r="F551">
        <v>0</v>
      </c>
      <c r="G551" t="str">
        <f>IF(Table1[[#This Row],[BMI]]&lt;18.5,"Underweight",IF(Table1[[#This Row],[BMI]]&lt;25,"Normal",IF(Table1[[#This Row],[BMI]]&lt;30,"Overweight","Obese")))</f>
        <v>Obese</v>
      </c>
      <c r="H551">
        <v>33.6</v>
      </c>
      <c r="I551">
        <v>0.627</v>
      </c>
      <c r="J551" t="str">
        <f>IF(Table1[[#This Row],[Age]]&lt;30,"Young (&lt;30)",IF(Table1[[#This Row],[Age]]&lt;=50,"Middle Age (30-50)","Older (&gt;50)"))</f>
        <v>Middle Age (30-50)</v>
      </c>
      <c r="K551">
        <v>50</v>
      </c>
      <c r="L551">
        <v>1</v>
      </c>
    </row>
    <row r="552" spans="1:12" x14ac:dyDescent="0.3">
      <c r="A552">
        <v>6</v>
      </c>
      <c r="B552" t="str">
        <f>IF(Table1[[#This Row],[Glucose]]&lt;100,"Normal",IF(Table1[[#This Row],[Glucose]]&lt;126,"Prediabetes","High Risk"))</f>
        <v>Normal</v>
      </c>
      <c r="C552">
        <v>92</v>
      </c>
      <c r="D552">
        <v>92</v>
      </c>
      <c r="E552">
        <v>0</v>
      </c>
      <c r="F552">
        <v>0</v>
      </c>
      <c r="G552" t="str">
        <f>IF(Table1[[#This Row],[BMI]]&lt;18.5,"Underweight",IF(Table1[[#This Row],[BMI]]&lt;25,"Normal",IF(Table1[[#This Row],[BMI]]&lt;30,"Overweight","Obese")))</f>
        <v>Normal</v>
      </c>
      <c r="H552">
        <v>19.899999999999999</v>
      </c>
      <c r="I552">
        <v>0.188</v>
      </c>
      <c r="J552" t="str">
        <f>IF(Table1[[#This Row],[Age]]&lt;30,"Young (&lt;30)",IF(Table1[[#This Row],[Age]]&lt;=50,"Middle Age (30-50)","Older (&gt;50)"))</f>
        <v>Young (&lt;30)</v>
      </c>
      <c r="K552">
        <v>28</v>
      </c>
      <c r="L552">
        <v>0</v>
      </c>
    </row>
    <row r="553" spans="1:12" x14ac:dyDescent="0.3">
      <c r="A553">
        <v>6</v>
      </c>
      <c r="B553" t="str">
        <f>IF(Table1[[#This Row],[Glucose]]&lt;100,"Normal",IF(Table1[[#This Row],[Glucose]]&lt;126,"Prediabetes","High Risk"))</f>
        <v>High Risk</v>
      </c>
      <c r="C553">
        <v>144</v>
      </c>
      <c r="D553">
        <v>72</v>
      </c>
      <c r="E553">
        <v>27</v>
      </c>
      <c r="F553">
        <v>228</v>
      </c>
      <c r="G553" t="str">
        <f>IF(Table1[[#This Row],[BMI]]&lt;18.5,"Underweight",IF(Table1[[#This Row],[BMI]]&lt;25,"Normal",IF(Table1[[#This Row],[BMI]]&lt;30,"Overweight","Obese")))</f>
        <v>Obese</v>
      </c>
      <c r="H553">
        <v>33.9</v>
      </c>
      <c r="I553">
        <v>0.255</v>
      </c>
      <c r="J553" t="str">
        <f>IF(Table1[[#This Row],[Age]]&lt;30,"Young (&lt;30)",IF(Table1[[#This Row],[Age]]&lt;=50,"Middle Age (30-50)","Older (&gt;50)"))</f>
        <v>Middle Age (30-50)</v>
      </c>
      <c r="K553">
        <v>40</v>
      </c>
      <c r="L553">
        <v>0</v>
      </c>
    </row>
    <row r="554" spans="1:12" x14ac:dyDescent="0.3">
      <c r="A554">
        <v>6</v>
      </c>
      <c r="B554" t="str">
        <f>IF(Table1[[#This Row],[Glucose]]&lt;100,"Normal",IF(Table1[[#This Row],[Glucose]]&lt;126,"Prediabetes","High Risk"))</f>
        <v>Normal</v>
      </c>
      <c r="C554">
        <v>93</v>
      </c>
      <c r="D554">
        <v>50</v>
      </c>
      <c r="E554">
        <v>30</v>
      </c>
      <c r="F554">
        <v>64</v>
      </c>
      <c r="G554" t="str">
        <f>IF(Table1[[#This Row],[BMI]]&lt;18.5,"Underweight",IF(Table1[[#This Row],[BMI]]&lt;25,"Normal",IF(Table1[[#This Row],[BMI]]&lt;30,"Overweight","Obese")))</f>
        <v>Overweight</v>
      </c>
      <c r="H554">
        <v>28.7</v>
      </c>
      <c r="I554">
        <v>0.35599999999999998</v>
      </c>
      <c r="J554" t="str">
        <f>IF(Table1[[#This Row],[Age]]&lt;30,"Young (&lt;30)",IF(Table1[[#This Row],[Age]]&lt;=50,"Middle Age (30-50)","Older (&gt;50)"))</f>
        <v>Young (&lt;30)</v>
      </c>
      <c r="K554">
        <v>23</v>
      </c>
      <c r="L554">
        <v>0</v>
      </c>
    </row>
    <row r="555" spans="1:12" x14ac:dyDescent="0.3">
      <c r="A555">
        <v>6</v>
      </c>
      <c r="B555" t="str">
        <f>IF(Table1[[#This Row],[Glucose]]&lt;100,"Normal",IF(Table1[[#This Row],[Glucose]]&lt;126,"Prediabetes","High Risk"))</f>
        <v>Prediabetes</v>
      </c>
      <c r="C555">
        <v>111</v>
      </c>
      <c r="D555">
        <v>64</v>
      </c>
      <c r="E555">
        <v>39</v>
      </c>
      <c r="F555">
        <v>0</v>
      </c>
      <c r="G555" t="str">
        <f>IF(Table1[[#This Row],[BMI]]&lt;18.5,"Underweight",IF(Table1[[#This Row],[BMI]]&lt;25,"Normal",IF(Table1[[#This Row],[BMI]]&lt;30,"Overweight","Obese")))</f>
        <v>Obese</v>
      </c>
      <c r="H555">
        <v>34.200000000000003</v>
      </c>
      <c r="I555">
        <v>0.26</v>
      </c>
      <c r="J555" t="str">
        <f>IF(Table1[[#This Row],[Age]]&lt;30,"Young (&lt;30)",IF(Table1[[#This Row],[Age]]&lt;=50,"Middle Age (30-50)","Older (&gt;50)"))</f>
        <v>Young (&lt;30)</v>
      </c>
      <c r="K555">
        <v>24</v>
      </c>
      <c r="L555">
        <v>0</v>
      </c>
    </row>
    <row r="556" spans="1:12" x14ac:dyDescent="0.3">
      <c r="A556">
        <v>6</v>
      </c>
      <c r="B556" t="str">
        <f>IF(Table1[[#This Row],[Glucose]]&lt;100,"Normal",IF(Table1[[#This Row],[Glucose]]&lt;126,"Prediabetes","High Risk"))</f>
        <v>Prediabetes</v>
      </c>
      <c r="C556">
        <v>104</v>
      </c>
      <c r="D556">
        <v>74</v>
      </c>
      <c r="E556">
        <v>18</v>
      </c>
      <c r="F556">
        <v>156</v>
      </c>
      <c r="G556" t="str">
        <f>IF(Table1[[#This Row],[BMI]]&lt;18.5,"Underweight",IF(Table1[[#This Row],[BMI]]&lt;25,"Normal",IF(Table1[[#This Row],[BMI]]&lt;30,"Overweight","Obese")))</f>
        <v>Overweight</v>
      </c>
      <c r="H556">
        <v>29.9</v>
      </c>
      <c r="I556">
        <v>0.72199999999999998</v>
      </c>
      <c r="J556" t="str">
        <f>IF(Table1[[#This Row],[Age]]&lt;30,"Young (&lt;30)",IF(Table1[[#This Row],[Age]]&lt;=50,"Middle Age (30-50)","Older (&gt;50)"))</f>
        <v>Middle Age (30-50)</v>
      </c>
      <c r="K556">
        <v>41</v>
      </c>
      <c r="L556">
        <v>1</v>
      </c>
    </row>
    <row r="557" spans="1:12" x14ac:dyDescent="0.3">
      <c r="A557">
        <v>6</v>
      </c>
      <c r="B557" t="str">
        <f>IF(Table1[[#This Row],[Glucose]]&lt;100,"Normal",IF(Table1[[#This Row],[Glucose]]&lt;126,"Prediabetes","High Risk"))</f>
        <v>Prediabetes</v>
      </c>
      <c r="C557">
        <v>102</v>
      </c>
      <c r="D557">
        <v>82</v>
      </c>
      <c r="E557">
        <v>0</v>
      </c>
      <c r="F557">
        <v>0</v>
      </c>
      <c r="G557" t="str">
        <f>IF(Table1[[#This Row],[BMI]]&lt;18.5,"Underweight",IF(Table1[[#This Row],[BMI]]&lt;25,"Normal",IF(Table1[[#This Row],[BMI]]&lt;30,"Overweight","Obese")))</f>
        <v>Obese</v>
      </c>
      <c r="H557">
        <v>30.8</v>
      </c>
      <c r="I557">
        <v>0.18</v>
      </c>
      <c r="J557" t="str">
        <f>IF(Table1[[#This Row],[Age]]&lt;30,"Young (&lt;30)",IF(Table1[[#This Row],[Age]]&lt;=50,"Middle Age (30-50)","Older (&gt;50)"))</f>
        <v>Middle Age (30-50)</v>
      </c>
      <c r="K557">
        <v>36</v>
      </c>
      <c r="L557">
        <v>1</v>
      </c>
    </row>
    <row r="558" spans="1:12" x14ac:dyDescent="0.3">
      <c r="A558">
        <v>6</v>
      </c>
      <c r="B558" t="str">
        <f>IF(Table1[[#This Row],[Glucose]]&lt;100,"Normal",IF(Table1[[#This Row],[Glucose]]&lt;126,"Prediabetes","High Risk"))</f>
        <v>High Risk</v>
      </c>
      <c r="C558">
        <v>134</v>
      </c>
      <c r="D558">
        <v>70</v>
      </c>
      <c r="E558">
        <v>23</v>
      </c>
      <c r="F558">
        <v>130</v>
      </c>
      <c r="G558" t="str">
        <f>IF(Table1[[#This Row],[BMI]]&lt;18.5,"Underweight",IF(Table1[[#This Row],[BMI]]&lt;25,"Normal",IF(Table1[[#This Row],[BMI]]&lt;30,"Overweight","Obese")))</f>
        <v>Obese</v>
      </c>
      <c r="H558">
        <v>35.4</v>
      </c>
      <c r="I558">
        <v>0.54200000000000004</v>
      </c>
      <c r="J558" t="str">
        <f>IF(Table1[[#This Row],[Age]]&lt;30,"Young (&lt;30)",IF(Table1[[#This Row],[Age]]&lt;=50,"Middle Age (30-50)","Older (&gt;50)"))</f>
        <v>Young (&lt;30)</v>
      </c>
      <c r="K558">
        <v>29</v>
      </c>
      <c r="L558">
        <v>1</v>
      </c>
    </row>
    <row r="559" spans="1:12" x14ac:dyDescent="0.3">
      <c r="A559">
        <v>6</v>
      </c>
      <c r="B559" t="str">
        <f>IF(Table1[[#This Row],[Glucose]]&lt;100,"Normal",IF(Table1[[#This Row],[Glucose]]&lt;126,"Prediabetes","High Risk"))</f>
        <v>Normal</v>
      </c>
      <c r="C559">
        <v>85</v>
      </c>
      <c r="D559">
        <v>78</v>
      </c>
      <c r="E559">
        <v>0</v>
      </c>
      <c r="F559">
        <v>0</v>
      </c>
      <c r="G559" t="str">
        <f>IF(Table1[[#This Row],[BMI]]&lt;18.5,"Underweight",IF(Table1[[#This Row],[BMI]]&lt;25,"Normal",IF(Table1[[#This Row],[BMI]]&lt;30,"Overweight","Obese")))</f>
        <v>Obese</v>
      </c>
      <c r="H559">
        <v>31.2</v>
      </c>
      <c r="I559">
        <v>0.38200000000000001</v>
      </c>
      <c r="J559" t="str">
        <f>IF(Table1[[#This Row],[Age]]&lt;30,"Young (&lt;30)",IF(Table1[[#This Row],[Age]]&lt;=50,"Middle Age (30-50)","Older (&gt;50)"))</f>
        <v>Middle Age (30-50)</v>
      </c>
      <c r="K559">
        <v>42</v>
      </c>
      <c r="L559">
        <v>0</v>
      </c>
    </row>
    <row r="560" spans="1:12" x14ac:dyDescent="0.3">
      <c r="A560">
        <v>6</v>
      </c>
      <c r="B560" t="str">
        <f>IF(Table1[[#This Row],[Glucose]]&lt;100,"Normal",IF(Table1[[#This Row],[Glucose]]&lt;126,"Prediabetes","High Risk"))</f>
        <v>Normal</v>
      </c>
      <c r="C560">
        <v>87</v>
      </c>
      <c r="D560">
        <v>80</v>
      </c>
      <c r="E560">
        <v>0</v>
      </c>
      <c r="F560">
        <v>0</v>
      </c>
      <c r="G560" t="str">
        <f>IF(Table1[[#This Row],[BMI]]&lt;18.5,"Underweight",IF(Table1[[#This Row],[BMI]]&lt;25,"Normal",IF(Table1[[#This Row],[BMI]]&lt;30,"Overweight","Obese")))</f>
        <v>Normal</v>
      </c>
      <c r="H560">
        <v>23.2</v>
      </c>
      <c r="I560">
        <v>8.4000000000000005E-2</v>
      </c>
      <c r="J560" t="str">
        <f>IF(Table1[[#This Row],[Age]]&lt;30,"Young (&lt;30)",IF(Table1[[#This Row],[Age]]&lt;=50,"Middle Age (30-50)","Older (&gt;50)"))</f>
        <v>Middle Age (30-50)</v>
      </c>
      <c r="K560">
        <v>32</v>
      </c>
      <c r="L560">
        <v>0</v>
      </c>
    </row>
    <row r="561" spans="1:12" x14ac:dyDescent="0.3">
      <c r="A561">
        <v>6</v>
      </c>
      <c r="B561" t="str">
        <f>IF(Table1[[#This Row],[Glucose]]&lt;100,"Normal",IF(Table1[[#This Row],[Glucose]]&lt;126,"Prediabetes","High Risk"))</f>
        <v>Prediabetes</v>
      </c>
      <c r="C561">
        <v>103</v>
      </c>
      <c r="D561">
        <v>72</v>
      </c>
      <c r="E561">
        <v>32</v>
      </c>
      <c r="F561">
        <v>190</v>
      </c>
      <c r="G561" t="str">
        <f>IF(Table1[[#This Row],[BMI]]&lt;18.5,"Underweight",IF(Table1[[#This Row],[BMI]]&lt;25,"Normal",IF(Table1[[#This Row],[BMI]]&lt;30,"Overweight","Obese")))</f>
        <v>Obese</v>
      </c>
      <c r="H561">
        <v>37.700000000000003</v>
      </c>
      <c r="I561">
        <v>0.32400000000000001</v>
      </c>
      <c r="J561" t="str">
        <f>IF(Table1[[#This Row],[Age]]&lt;30,"Young (&lt;30)",IF(Table1[[#This Row],[Age]]&lt;=50,"Middle Age (30-50)","Older (&gt;50)"))</f>
        <v>Older (&gt;50)</v>
      </c>
      <c r="K561">
        <v>55</v>
      </c>
      <c r="L561">
        <v>0</v>
      </c>
    </row>
    <row r="562" spans="1:12" x14ac:dyDescent="0.3">
      <c r="A562">
        <v>6</v>
      </c>
      <c r="B562" t="str">
        <f>IF(Table1[[#This Row],[Glucose]]&lt;100,"Normal",IF(Table1[[#This Row],[Glucose]]&lt;126,"Prediabetes","High Risk"))</f>
        <v>Prediabetes</v>
      </c>
      <c r="C562">
        <v>125</v>
      </c>
      <c r="D562">
        <v>68</v>
      </c>
      <c r="E562">
        <v>30</v>
      </c>
      <c r="F562">
        <v>120</v>
      </c>
      <c r="G562" t="str">
        <f>IF(Table1[[#This Row],[BMI]]&lt;18.5,"Underweight",IF(Table1[[#This Row],[BMI]]&lt;25,"Normal",IF(Table1[[#This Row],[BMI]]&lt;30,"Overweight","Obese")))</f>
        <v>Obese</v>
      </c>
      <c r="H562">
        <v>30</v>
      </c>
      <c r="I562">
        <v>0.46400000000000002</v>
      </c>
      <c r="J562" t="str">
        <f>IF(Table1[[#This Row],[Age]]&lt;30,"Young (&lt;30)",IF(Table1[[#This Row],[Age]]&lt;=50,"Middle Age (30-50)","Older (&gt;50)"))</f>
        <v>Middle Age (30-50)</v>
      </c>
      <c r="K562">
        <v>32</v>
      </c>
      <c r="L562">
        <v>0</v>
      </c>
    </row>
    <row r="563" spans="1:12" x14ac:dyDescent="0.3">
      <c r="A563">
        <v>6</v>
      </c>
      <c r="B563" t="str">
        <f>IF(Table1[[#This Row],[Glucose]]&lt;100,"Normal",IF(Table1[[#This Row],[Glucose]]&lt;126,"Prediabetes","High Risk"))</f>
        <v>High Risk</v>
      </c>
      <c r="C563">
        <v>134</v>
      </c>
      <c r="D563">
        <v>80</v>
      </c>
      <c r="E563">
        <v>37</v>
      </c>
      <c r="F563">
        <v>370</v>
      </c>
      <c r="G563" t="str">
        <f>IF(Table1[[#This Row],[BMI]]&lt;18.5,"Underweight",IF(Table1[[#This Row],[BMI]]&lt;25,"Normal",IF(Table1[[#This Row],[BMI]]&lt;30,"Overweight","Obese")))</f>
        <v>Obese</v>
      </c>
      <c r="H563">
        <v>46.2</v>
      </c>
      <c r="I563">
        <v>0.23799999999999999</v>
      </c>
      <c r="J563" t="str">
        <f>IF(Table1[[#This Row],[Age]]&lt;30,"Young (&lt;30)",IF(Table1[[#This Row],[Age]]&lt;=50,"Middle Age (30-50)","Older (&gt;50)"))</f>
        <v>Middle Age (30-50)</v>
      </c>
      <c r="K563">
        <v>46</v>
      </c>
      <c r="L563">
        <v>1</v>
      </c>
    </row>
    <row r="564" spans="1:12" x14ac:dyDescent="0.3">
      <c r="A564">
        <v>6</v>
      </c>
      <c r="B564" t="str">
        <f>IF(Table1[[#This Row],[Glucose]]&lt;100,"Normal",IF(Table1[[#This Row],[Glucose]]&lt;126,"Prediabetes","High Risk"))</f>
        <v>Prediabetes</v>
      </c>
      <c r="C564">
        <v>119</v>
      </c>
      <c r="D564">
        <v>50</v>
      </c>
      <c r="E564">
        <v>22</v>
      </c>
      <c r="F564">
        <v>176</v>
      </c>
      <c r="G564" t="str">
        <f>IF(Table1[[#This Row],[BMI]]&lt;18.5,"Underweight",IF(Table1[[#This Row],[BMI]]&lt;25,"Normal",IF(Table1[[#This Row],[BMI]]&lt;30,"Overweight","Obese")))</f>
        <v>Overweight</v>
      </c>
      <c r="H564">
        <v>27.1</v>
      </c>
      <c r="I564">
        <v>1.3180000000000001</v>
      </c>
      <c r="J564" t="str">
        <f>IF(Table1[[#This Row],[Age]]&lt;30,"Young (&lt;30)",IF(Table1[[#This Row],[Age]]&lt;=50,"Middle Age (30-50)","Older (&gt;50)"))</f>
        <v>Middle Age (30-50)</v>
      </c>
      <c r="K564">
        <v>33</v>
      </c>
      <c r="L564">
        <v>1</v>
      </c>
    </row>
    <row r="565" spans="1:12" x14ac:dyDescent="0.3">
      <c r="A565">
        <v>6</v>
      </c>
      <c r="B565" t="str">
        <f>IF(Table1[[#This Row],[Glucose]]&lt;100,"Normal",IF(Table1[[#This Row],[Glucose]]&lt;126,"Prediabetes","High Risk"))</f>
        <v>High Risk</v>
      </c>
      <c r="C565">
        <v>151</v>
      </c>
      <c r="D565">
        <v>62</v>
      </c>
      <c r="E565">
        <v>31</v>
      </c>
      <c r="F565">
        <v>120</v>
      </c>
      <c r="G565" t="str">
        <f>IF(Table1[[#This Row],[BMI]]&lt;18.5,"Underweight",IF(Table1[[#This Row],[BMI]]&lt;25,"Normal",IF(Table1[[#This Row],[BMI]]&lt;30,"Overweight","Obese")))</f>
        <v>Obese</v>
      </c>
      <c r="H565">
        <v>35.5</v>
      </c>
      <c r="I565">
        <v>0.69199999999999995</v>
      </c>
      <c r="J565" t="str">
        <f>IF(Table1[[#This Row],[Age]]&lt;30,"Young (&lt;30)",IF(Table1[[#This Row],[Age]]&lt;=50,"Middle Age (30-50)","Older (&gt;50)"))</f>
        <v>Young (&lt;30)</v>
      </c>
      <c r="K565">
        <v>28</v>
      </c>
      <c r="L565">
        <v>0</v>
      </c>
    </row>
    <row r="566" spans="1:12" x14ac:dyDescent="0.3">
      <c r="A566">
        <v>6</v>
      </c>
      <c r="B566" t="str">
        <f>IF(Table1[[#This Row],[Glucose]]&lt;100,"Normal",IF(Table1[[#This Row],[Glucose]]&lt;126,"Prediabetes","High Risk"))</f>
        <v>Normal</v>
      </c>
      <c r="C566">
        <v>80</v>
      </c>
      <c r="D566">
        <v>66</v>
      </c>
      <c r="E566">
        <v>30</v>
      </c>
      <c r="F566">
        <v>0</v>
      </c>
      <c r="G566" t="str">
        <f>IF(Table1[[#This Row],[BMI]]&lt;18.5,"Underweight",IF(Table1[[#This Row],[BMI]]&lt;25,"Normal",IF(Table1[[#This Row],[BMI]]&lt;30,"Overweight","Obese")))</f>
        <v>Overweight</v>
      </c>
      <c r="H566">
        <v>26.2</v>
      </c>
      <c r="I566">
        <v>0.313</v>
      </c>
      <c r="J566" t="str">
        <f>IF(Table1[[#This Row],[Age]]&lt;30,"Young (&lt;30)",IF(Table1[[#This Row],[Age]]&lt;=50,"Middle Age (30-50)","Older (&gt;50)"))</f>
        <v>Middle Age (30-50)</v>
      </c>
      <c r="K566">
        <v>41</v>
      </c>
      <c r="L566">
        <v>0</v>
      </c>
    </row>
    <row r="567" spans="1:12" x14ac:dyDescent="0.3">
      <c r="A567">
        <v>6</v>
      </c>
      <c r="B567" t="str">
        <f>IF(Table1[[#This Row],[Glucose]]&lt;100,"Normal",IF(Table1[[#This Row],[Glucose]]&lt;126,"Prediabetes","High Risk"))</f>
        <v>High Risk</v>
      </c>
      <c r="C567">
        <v>194</v>
      </c>
      <c r="D567">
        <v>78</v>
      </c>
      <c r="E567">
        <v>0</v>
      </c>
      <c r="F567">
        <v>0</v>
      </c>
      <c r="G567" t="str">
        <f>IF(Table1[[#This Row],[BMI]]&lt;18.5,"Underweight",IF(Table1[[#This Row],[BMI]]&lt;25,"Normal",IF(Table1[[#This Row],[BMI]]&lt;30,"Overweight","Obese")))</f>
        <v>Normal</v>
      </c>
      <c r="H567">
        <v>23.5</v>
      </c>
      <c r="I567">
        <v>0.129</v>
      </c>
      <c r="J567" t="str">
        <f>IF(Table1[[#This Row],[Age]]&lt;30,"Young (&lt;30)",IF(Table1[[#This Row],[Age]]&lt;=50,"Middle Age (30-50)","Older (&gt;50)"))</f>
        <v>Older (&gt;50)</v>
      </c>
      <c r="K567">
        <v>59</v>
      </c>
      <c r="L567">
        <v>1</v>
      </c>
    </row>
    <row r="568" spans="1:12" x14ac:dyDescent="0.3">
      <c r="A568">
        <v>6</v>
      </c>
      <c r="B568" t="str">
        <f>IF(Table1[[#This Row],[Glucose]]&lt;100,"Normal",IF(Table1[[#This Row],[Glucose]]&lt;126,"Prediabetes","High Risk"))</f>
        <v>Prediabetes</v>
      </c>
      <c r="C568">
        <v>105</v>
      </c>
      <c r="D568">
        <v>70</v>
      </c>
      <c r="E568">
        <v>32</v>
      </c>
      <c r="F568">
        <v>68</v>
      </c>
      <c r="G568" t="str">
        <f>IF(Table1[[#This Row],[BMI]]&lt;18.5,"Underweight",IF(Table1[[#This Row],[BMI]]&lt;25,"Normal",IF(Table1[[#This Row],[BMI]]&lt;30,"Overweight","Obese")))</f>
        <v>Obese</v>
      </c>
      <c r="H568">
        <v>30.8</v>
      </c>
      <c r="I568">
        <v>0.122</v>
      </c>
      <c r="J568" t="str">
        <f>IF(Table1[[#This Row],[Age]]&lt;30,"Young (&lt;30)",IF(Table1[[#This Row],[Age]]&lt;=50,"Middle Age (30-50)","Older (&gt;50)"))</f>
        <v>Middle Age (30-50)</v>
      </c>
      <c r="K568">
        <v>37</v>
      </c>
      <c r="L568">
        <v>0</v>
      </c>
    </row>
    <row r="569" spans="1:12" x14ac:dyDescent="0.3">
      <c r="A569">
        <v>6</v>
      </c>
      <c r="B569" t="str">
        <f>IF(Table1[[#This Row],[Glucose]]&lt;100,"Normal",IF(Table1[[#This Row],[Glucose]]&lt;126,"Prediabetes","High Risk"))</f>
        <v>Prediabetes</v>
      </c>
      <c r="C569">
        <v>124</v>
      </c>
      <c r="D569">
        <v>72</v>
      </c>
      <c r="E569">
        <v>0</v>
      </c>
      <c r="F569">
        <v>0</v>
      </c>
      <c r="G569" t="str">
        <f>IF(Table1[[#This Row],[BMI]]&lt;18.5,"Underweight",IF(Table1[[#This Row],[BMI]]&lt;25,"Normal",IF(Table1[[#This Row],[BMI]]&lt;30,"Overweight","Obese")))</f>
        <v>Overweight</v>
      </c>
      <c r="H569">
        <v>27.6</v>
      </c>
      <c r="I569">
        <v>0.36799999999999999</v>
      </c>
      <c r="J569" t="str">
        <f>IF(Table1[[#This Row],[Age]]&lt;30,"Young (&lt;30)",IF(Table1[[#This Row],[Age]]&lt;=50,"Middle Age (30-50)","Older (&gt;50)"))</f>
        <v>Young (&lt;30)</v>
      </c>
      <c r="K569">
        <v>29</v>
      </c>
      <c r="L569">
        <v>1</v>
      </c>
    </row>
    <row r="570" spans="1:12" x14ac:dyDescent="0.3">
      <c r="A570">
        <v>6</v>
      </c>
      <c r="B570" t="str">
        <f>IF(Table1[[#This Row],[Glucose]]&lt;100,"Normal",IF(Table1[[#This Row],[Glucose]]&lt;126,"Prediabetes","High Risk"))</f>
        <v>High Risk</v>
      </c>
      <c r="C570">
        <v>137</v>
      </c>
      <c r="D570">
        <v>61</v>
      </c>
      <c r="E570">
        <v>0</v>
      </c>
      <c r="F570">
        <v>0</v>
      </c>
      <c r="G570" t="str">
        <f>IF(Table1[[#This Row],[BMI]]&lt;18.5,"Underweight",IF(Table1[[#This Row],[BMI]]&lt;25,"Normal",IF(Table1[[#This Row],[BMI]]&lt;30,"Overweight","Obese")))</f>
        <v>Normal</v>
      </c>
      <c r="H570">
        <v>24.2</v>
      </c>
      <c r="I570">
        <v>0.151</v>
      </c>
      <c r="J570" t="str">
        <f>IF(Table1[[#This Row],[Age]]&lt;30,"Young (&lt;30)",IF(Table1[[#This Row],[Age]]&lt;=50,"Middle Age (30-50)","Older (&gt;50)"))</f>
        <v>Older (&gt;50)</v>
      </c>
      <c r="K570">
        <v>55</v>
      </c>
      <c r="L570">
        <v>0</v>
      </c>
    </row>
    <row r="571" spans="1:12" x14ac:dyDescent="0.3">
      <c r="A571">
        <v>6</v>
      </c>
      <c r="B571" t="str">
        <f>IF(Table1[[#This Row],[Glucose]]&lt;100,"Normal",IF(Table1[[#This Row],[Glucose]]&lt;126,"Prediabetes","High Risk"))</f>
        <v>Prediabetes</v>
      </c>
      <c r="C571">
        <v>102</v>
      </c>
      <c r="D571">
        <v>90</v>
      </c>
      <c r="E571">
        <v>39</v>
      </c>
      <c r="F571">
        <v>0</v>
      </c>
      <c r="G571" t="str">
        <f>IF(Table1[[#This Row],[BMI]]&lt;18.5,"Underweight",IF(Table1[[#This Row],[BMI]]&lt;25,"Normal",IF(Table1[[#This Row],[BMI]]&lt;30,"Overweight","Obese")))</f>
        <v>Obese</v>
      </c>
      <c r="H571">
        <v>35.700000000000003</v>
      </c>
      <c r="I571">
        <v>0.67400000000000004</v>
      </c>
      <c r="J571" t="str">
        <f>IF(Table1[[#This Row],[Age]]&lt;30,"Young (&lt;30)",IF(Table1[[#This Row],[Age]]&lt;=50,"Middle Age (30-50)","Older (&gt;50)"))</f>
        <v>Young (&lt;30)</v>
      </c>
      <c r="K571">
        <v>28</v>
      </c>
      <c r="L571">
        <v>0</v>
      </c>
    </row>
    <row r="572" spans="1:12" x14ac:dyDescent="0.3">
      <c r="A572">
        <v>6</v>
      </c>
      <c r="B572" t="str">
        <f>IF(Table1[[#This Row],[Glucose]]&lt;100,"Normal",IF(Table1[[#This Row],[Glucose]]&lt;126,"Prediabetes","High Risk"))</f>
        <v>Prediabetes</v>
      </c>
      <c r="C572">
        <v>107</v>
      </c>
      <c r="D572">
        <v>88</v>
      </c>
      <c r="E572">
        <v>0</v>
      </c>
      <c r="F572">
        <v>0</v>
      </c>
      <c r="G572" t="str">
        <f>IF(Table1[[#This Row],[BMI]]&lt;18.5,"Underweight",IF(Table1[[#This Row],[BMI]]&lt;25,"Normal",IF(Table1[[#This Row],[BMI]]&lt;30,"Overweight","Obese")))</f>
        <v>Obese</v>
      </c>
      <c r="H572">
        <v>36.799999999999997</v>
      </c>
      <c r="I572">
        <v>0.72699999999999998</v>
      </c>
      <c r="J572" t="str">
        <f>IF(Table1[[#This Row],[Age]]&lt;30,"Young (&lt;30)",IF(Table1[[#This Row],[Age]]&lt;=50,"Middle Age (30-50)","Older (&gt;50)"))</f>
        <v>Middle Age (30-50)</v>
      </c>
      <c r="K572">
        <v>31</v>
      </c>
      <c r="L572">
        <v>0</v>
      </c>
    </row>
    <row r="573" spans="1:12" x14ac:dyDescent="0.3">
      <c r="A573">
        <v>6</v>
      </c>
      <c r="B573" t="str">
        <f>IF(Table1[[#This Row],[Glucose]]&lt;100,"Normal",IF(Table1[[#This Row],[Glucose]]&lt;126,"Prediabetes","High Risk"))</f>
        <v>High Risk</v>
      </c>
      <c r="C573">
        <v>154</v>
      </c>
      <c r="D573">
        <v>78</v>
      </c>
      <c r="E573">
        <v>41</v>
      </c>
      <c r="F573">
        <v>140</v>
      </c>
      <c r="G573" t="str">
        <f>IF(Table1[[#This Row],[BMI]]&lt;18.5,"Underweight",IF(Table1[[#This Row],[BMI]]&lt;25,"Normal",IF(Table1[[#This Row],[BMI]]&lt;30,"Overweight","Obese")))</f>
        <v>Obese</v>
      </c>
      <c r="H573">
        <v>46.1</v>
      </c>
      <c r="I573">
        <v>0.57099999999999995</v>
      </c>
      <c r="J573" t="str">
        <f>IF(Table1[[#This Row],[Age]]&lt;30,"Young (&lt;30)",IF(Table1[[#This Row],[Age]]&lt;=50,"Middle Age (30-50)","Older (&gt;50)"))</f>
        <v>Young (&lt;30)</v>
      </c>
      <c r="K573">
        <v>27</v>
      </c>
      <c r="L573">
        <v>0</v>
      </c>
    </row>
    <row r="574" spans="1:12" x14ac:dyDescent="0.3">
      <c r="A574">
        <v>6</v>
      </c>
      <c r="B574" t="str">
        <f>IF(Table1[[#This Row],[Glucose]]&lt;100,"Normal",IF(Table1[[#This Row],[Glucose]]&lt;126,"Prediabetes","High Risk"))</f>
        <v>High Risk</v>
      </c>
      <c r="C574">
        <v>166</v>
      </c>
      <c r="D574">
        <v>74</v>
      </c>
      <c r="E574">
        <v>0</v>
      </c>
      <c r="F574">
        <v>0</v>
      </c>
      <c r="G574" t="str">
        <f>IF(Table1[[#This Row],[BMI]]&lt;18.5,"Underweight",IF(Table1[[#This Row],[BMI]]&lt;25,"Normal",IF(Table1[[#This Row],[BMI]]&lt;30,"Overweight","Obese")))</f>
        <v>Overweight</v>
      </c>
      <c r="H574">
        <v>26.6</v>
      </c>
      <c r="I574">
        <v>0.30399999999999999</v>
      </c>
      <c r="J574" t="str">
        <f>IF(Table1[[#This Row],[Age]]&lt;30,"Young (&lt;30)",IF(Table1[[#This Row],[Age]]&lt;=50,"Middle Age (30-50)","Older (&gt;50)"))</f>
        <v>Older (&gt;50)</v>
      </c>
      <c r="K574">
        <v>66</v>
      </c>
      <c r="L574">
        <v>0</v>
      </c>
    </row>
    <row r="575" spans="1:12" x14ac:dyDescent="0.3">
      <c r="A575">
        <v>6</v>
      </c>
      <c r="B575" t="str">
        <f>IF(Table1[[#This Row],[Glucose]]&lt;100,"Normal",IF(Table1[[#This Row],[Glucose]]&lt;126,"Prediabetes","High Risk"))</f>
        <v>High Risk</v>
      </c>
      <c r="C575">
        <v>154</v>
      </c>
      <c r="D575">
        <v>74</v>
      </c>
      <c r="E575">
        <v>32</v>
      </c>
      <c r="F575">
        <v>193</v>
      </c>
      <c r="G575" t="str">
        <f>IF(Table1[[#This Row],[BMI]]&lt;18.5,"Underweight",IF(Table1[[#This Row],[BMI]]&lt;25,"Normal",IF(Table1[[#This Row],[BMI]]&lt;30,"Overweight","Obese")))</f>
        <v>Overweight</v>
      </c>
      <c r="H575">
        <v>29.3</v>
      </c>
      <c r="I575">
        <v>0.83899999999999997</v>
      </c>
      <c r="J575" t="str">
        <f>IF(Table1[[#This Row],[Age]]&lt;30,"Young (&lt;30)",IF(Table1[[#This Row],[Age]]&lt;=50,"Middle Age (30-50)","Older (&gt;50)"))</f>
        <v>Middle Age (30-50)</v>
      </c>
      <c r="K575">
        <v>39</v>
      </c>
      <c r="L575">
        <v>0</v>
      </c>
    </row>
    <row r="576" spans="1:12" x14ac:dyDescent="0.3">
      <c r="A576">
        <v>6</v>
      </c>
      <c r="B576" t="str">
        <f>IF(Table1[[#This Row],[Glucose]]&lt;100,"Normal",IF(Table1[[#This Row],[Glucose]]&lt;126,"Prediabetes","High Risk"))</f>
        <v>Normal</v>
      </c>
      <c r="C576">
        <v>0</v>
      </c>
      <c r="D576">
        <v>68</v>
      </c>
      <c r="E576">
        <v>41</v>
      </c>
      <c r="F576">
        <v>0</v>
      </c>
      <c r="G576" t="str">
        <f>IF(Table1[[#This Row],[BMI]]&lt;18.5,"Underweight",IF(Table1[[#This Row],[BMI]]&lt;25,"Normal",IF(Table1[[#This Row],[BMI]]&lt;30,"Overweight","Obese")))</f>
        <v>Obese</v>
      </c>
      <c r="H576">
        <v>39</v>
      </c>
      <c r="I576">
        <v>0.72699999999999998</v>
      </c>
      <c r="J576" t="str">
        <f>IF(Table1[[#This Row],[Age]]&lt;30,"Young (&lt;30)",IF(Table1[[#This Row],[Age]]&lt;=50,"Middle Age (30-50)","Older (&gt;50)"))</f>
        <v>Middle Age (30-50)</v>
      </c>
      <c r="K576">
        <v>41</v>
      </c>
      <c r="L576">
        <v>1</v>
      </c>
    </row>
    <row r="577" spans="1:12" x14ac:dyDescent="0.3">
      <c r="A577">
        <v>6</v>
      </c>
      <c r="B577" t="str">
        <f>IF(Table1[[#This Row],[Glucose]]&lt;100,"Normal",IF(Table1[[#This Row],[Glucose]]&lt;126,"Prediabetes","High Risk"))</f>
        <v>High Risk</v>
      </c>
      <c r="C577">
        <v>129</v>
      </c>
      <c r="D577">
        <v>90</v>
      </c>
      <c r="E577">
        <v>7</v>
      </c>
      <c r="F577">
        <v>326</v>
      </c>
      <c r="G577" t="str">
        <f>IF(Table1[[#This Row],[BMI]]&lt;18.5,"Underweight",IF(Table1[[#This Row],[BMI]]&lt;25,"Normal",IF(Table1[[#This Row],[BMI]]&lt;30,"Overweight","Obese")))</f>
        <v>Normal</v>
      </c>
      <c r="H577">
        <v>19.600000000000001</v>
      </c>
      <c r="I577">
        <v>0.58199999999999996</v>
      </c>
      <c r="J577" t="str">
        <f>IF(Table1[[#This Row],[Age]]&lt;30,"Young (&lt;30)",IF(Table1[[#This Row],[Age]]&lt;=50,"Middle Age (30-50)","Older (&gt;50)"))</f>
        <v>Older (&gt;50)</v>
      </c>
      <c r="K577">
        <v>60</v>
      </c>
      <c r="L577">
        <v>0</v>
      </c>
    </row>
    <row r="578" spans="1:12" x14ac:dyDescent="0.3">
      <c r="A578">
        <v>6</v>
      </c>
      <c r="B578" t="str">
        <f>IF(Table1[[#This Row],[Glucose]]&lt;100,"Normal",IF(Table1[[#This Row],[Glucose]]&lt;126,"Prediabetes","High Risk"))</f>
        <v>Prediabetes</v>
      </c>
      <c r="C578">
        <v>114</v>
      </c>
      <c r="D578">
        <v>0</v>
      </c>
      <c r="E578">
        <v>0</v>
      </c>
      <c r="F578">
        <v>0</v>
      </c>
      <c r="G578" t="str">
        <f>IF(Table1[[#This Row],[BMI]]&lt;18.5,"Underweight",IF(Table1[[#This Row],[BMI]]&lt;25,"Normal",IF(Table1[[#This Row],[BMI]]&lt;30,"Overweight","Obese")))</f>
        <v>Underweight</v>
      </c>
      <c r="H578">
        <v>0</v>
      </c>
      <c r="I578">
        <v>0.189</v>
      </c>
      <c r="J578" t="str">
        <f>IF(Table1[[#This Row],[Age]]&lt;30,"Young (&lt;30)",IF(Table1[[#This Row],[Age]]&lt;=50,"Middle Age (30-50)","Older (&gt;50)"))</f>
        <v>Young (&lt;30)</v>
      </c>
      <c r="K578">
        <v>26</v>
      </c>
      <c r="L578">
        <v>0</v>
      </c>
    </row>
    <row r="579" spans="1:12" x14ac:dyDescent="0.3">
      <c r="A579">
        <v>6</v>
      </c>
      <c r="B579" t="str">
        <f>IF(Table1[[#This Row],[Glucose]]&lt;100,"Normal",IF(Table1[[#This Row],[Glucose]]&lt;126,"Prediabetes","High Risk"))</f>
        <v>Normal</v>
      </c>
      <c r="C579">
        <v>91</v>
      </c>
      <c r="D579">
        <v>0</v>
      </c>
      <c r="E579">
        <v>0</v>
      </c>
      <c r="F579">
        <v>0</v>
      </c>
      <c r="G579" t="str">
        <f>IF(Table1[[#This Row],[BMI]]&lt;18.5,"Underweight",IF(Table1[[#This Row],[BMI]]&lt;25,"Normal",IF(Table1[[#This Row],[BMI]]&lt;30,"Overweight","Obese")))</f>
        <v>Overweight</v>
      </c>
      <c r="H579">
        <v>29.8</v>
      </c>
      <c r="I579">
        <v>0.501</v>
      </c>
      <c r="J579" t="str">
        <f>IF(Table1[[#This Row],[Age]]&lt;30,"Young (&lt;30)",IF(Table1[[#This Row],[Age]]&lt;=50,"Middle Age (30-50)","Older (&gt;50)"))</f>
        <v>Middle Age (30-50)</v>
      </c>
      <c r="K579">
        <v>31</v>
      </c>
      <c r="L579">
        <v>0</v>
      </c>
    </row>
    <row r="580" spans="1:12" x14ac:dyDescent="0.3">
      <c r="A580">
        <v>6</v>
      </c>
      <c r="B580" t="str">
        <f>IF(Table1[[#This Row],[Glucose]]&lt;100,"Normal",IF(Table1[[#This Row],[Glucose]]&lt;126,"Prediabetes","High Risk"))</f>
        <v>Prediabetes</v>
      </c>
      <c r="C580">
        <v>114</v>
      </c>
      <c r="D580">
        <v>88</v>
      </c>
      <c r="E580">
        <v>0</v>
      </c>
      <c r="F580">
        <v>0</v>
      </c>
      <c r="G580" t="str">
        <f>IF(Table1[[#This Row],[BMI]]&lt;18.5,"Underweight",IF(Table1[[#This Row],[BMI]]&lt;25,"Normal",IF(Table1[[#This Row],[BMI]]&lt;30,"Overweight","Obese")))</f>
        <v>Overweight</v>
      </c>
      <c r="H580">
        <v>27.8</v>
      </c>
      <c r="I580">
        <v>0.247</v>
      </c>
      <c r="J580" t="str">
        <f>IF(Table1[[#This Row],[Age]]&lt;30,"Young (&lt;30)",IF(Table1[[#This Row],[Age]]&lt;=50,"Middle Age (30-50)","Older (&gt;50)"))</f>
        <v>Older (&gt;50)</v>
      </c>
      <c r="K580">
        <v>66</v>
      </c>
      <c r="L580">
        <v>0</v>
      </c>
    </row>
    <row r="581" spans="1:12" x14ac:dyDescent="0.3">
      <c r="A581">
        <v>6</v>
      </c>
      <c r="B581" t="str">
        <f>IF(Table1[[#This Row],[Glucose]]&lt;100,"Normal",IF(Table1[[#This Row],[Glucose]]&lt;126,"Prediabetes","High Risk"))</f>
        <v>Prediabetes</v>
      </c>
      <c r="C581">
        <v>125</v>
      </c>
      <c r="D581">
        <v>76</v>
      </c>
      <c r="E581">
        <v>0</v>
      </c>
      <c r="F581">
        <v>0</v>
      </c>
      <c r="G581" t="str">
        <f>IF(Table1[[#This Row],[BMI]]&lt;18.5,"Underweight",IF(Table1[[#This Row],[BMI]]&lt;25,"Normal",IF(Table1[[#This Row],[BMI]]&lt;30,"Overweight","Obese")))</f>
        <v>Obese</v>
      </c>
      <c r="H581">
        <v>33.799999999999997</v>
      </c>
      <c r="I581">
        <v>0.121</v>
      </c>
      <c r="J581" t="str">
        <f>IF(Table1[[#This Row],[Age]]&lt;30,"Young (&lt;30)",IF(Table1[[#This Row],[Age]]&lt;=50,"Middle Age (30-50)","Older (&gt;50)"))</f>
        <v>Older (&gt;50)</v>
      </c>
      <c r="K581">
        <v>54</v>
      </c>
      <c r="L581">
        <v>1</v>
      </c>
    </row>
    <row r="582" spans="1:12" x14ac:dyDescent="0.3">
      <c r="A582">
        <v>6</v>
      </c>
      <c r="B582" t="str">
        <f>IF(Table1[[#This Row],[Glucose]]&lt;100,"Normal",IF(Table1[[#This Row],[Glucose]]&lt;126,"Prediabetes","High Risk"))</f>
        <v>Normal</v>
      </c>
      <c r="C582">
        <v>99</v>
      </c>
      <c r="D582">
        <v>60</v>
      </c>
      <c r="E582">
        <v>19</v>
      </c>
      <c r="F582">
        <v>54</v>
      </c>
      <c r="G582" t="str">
        <f>IF(Table1[[#This Row],[BMI]]&lt;18.5,"Underweight",IF(Table1[[#This Row],[BMI]]&lt;25,"Normal",IF(Table1[[#This Row],[BMI]]&lt;30,"Overweight","Obese")))</f>
        <v>Overweight</v>
      </c>
      <c r="H582">
        <v>26.9</v>
      </c>
      <c r="I582">
        <v>0.497</v>
      </c>
      <c r="J582" t="str">
        <f>IF(Table1[[#This Row],[Age]]&lt;30,"Young (&lt;30)",IF(Table1[[#This Row],[Age]]&lt;=50,"Middle Age (30-50)","Older (&gt;50)"))</f>
        <v>Middle Age (30-50)</v>
      </c>
      <c r="K582">
        <v>32</v>
      </c>
      <c r="L582">
        <v>0</v>
      </c>
    </row>
    <row r="583" spans="1:12" x14ac:dyDescent="0.3">
      <c r="A583">
        <v>6</v>
      </c>
      <c r="B583" t="str">
        <f>IF(Table1[[#This Row],[Glucose]]&lt;100,"Normal",IF(Table1[[#This Row],[Glucose]]&lt;126,"Prediabetes","High Risk"))</f>
        <v>Normal</v>
      </c>
      <c r="C583">
        <v>92</v>
      </c>
      <c r="D583">
        <v>62</v>
      </c>
      <c r="E583">
        <v>32</v>
      </c>
      <c r="F583">
        <v>126</v>
      </c>
      <c r="G583" t="str">
        <f>IF(Table1[[#This Row],[BMI]]&lt;18.5,"Underweight",IF(Table1[[#This Row],[BMI]]&lt;25,"Normal",IF(Table1[[#This Row],[BMI]]&lt;30,"Overweight","Obese")))</f>
        <v>Obese</v>
      </c>
      <c r="H583">
        <v>32</v>
      </c>
      <c r="I583">
        <v>8.5000000000000006E-2</v>
      </c>
      <c r="J583" t="str">
        <f>IF(Table1[[#This Row],[Age]]&lt;30,"Young (&lt;30)",IF(Table1[[#This Row],[Age]]&lt;=50,"Middle Age (30-50)","Older (&gt;50)"))</f>
        <v>Middle Age (30-50)</v>
      </c>
      <c r="K583">
        <v>46</v>
      </c>
      <c r="L583">
        <v>0</v>
      </c>
    </row>
    <row r="584" spans="1:12" x14ac:dyDescent="0.3">
      <c r="A584">
        <v>6</v>
      </c>
      <c r="B584" t="str">
        <f>IF(Table1[[#This Row],[Glucose]]&lt;100,"Normal",IF(Table1[[#This Row],[Glucose]]&lt;126,"Prediabetes","High Risk"))</f>
        <v>Prediabetes</v>
      </c>
      <c r="C584">
        <v>108</v>
      </c>
      <c r="D584">
        <v>44</v>
      </c>
      <c r="E584">
        <v>20</v>
      </c>
      <c r="F584">
        <v>130</v>
      </c>
      <c r="G584" t="str">
        <f>IF(Table1[[#This Row],[BMI]]&lt;18.5,"Underweight",IF(Table1[[#This Row],[BMI]]&lt;25,"Normal",IF(Table1[[#This Row],[BMI]]&lt;30,"Overweight","Obese")))</f>
        <v>Normal</v>
      </c>
      <c r="H584">
        <v>24</v>
      </c>
      <c r="I584">
        <v>0.81299999999999994</v>
      </c>
      <c r="J584" t="str">
        <f>IF(Table1[[#This Row],[Age]]&lt;30,"Young (&lt;30)",IF(Table1[[#This Row],[Age]]&lt;=50,"Middle Age (30-50)","Older (&gt;50)"))</f>
        <v>Middle Age (30-50)</v>
      </c>
      <c r="K584">
        <v>35</v>
      </c>
      <c r="L584">
        <v>0</v>
      </c>
    </row>
    <row r="585" spans="1:12" x14ac:dyDescent="0.3">
      <c r="A585">
        <v>6</v>
      </c>
      <c r="B585" t="str">
        <f>IF(Table1[[#This Row],[Glucose]]&lt;100,"Normal",IF(Table1[[#This Row],[Glucose]]&lt;126,"Prediabetes","High Risk"))</f>
        <v>Prediabetes</v>
      </c>
      <c r="C585">
        <v>109</v>
      </c>
      <c r="D585">
        <v>60</v>
      </c>
      <c r="E585">
        <v>27</v>
      </c>
      <c r="F585">
        <v>0</v>
      </c>
      <c r="G585" t="str">
        <f>IF(Table1[[#This Row],[BMI]]&lt;18.5,"Underweight",IF(Table1[[#This Row],[BMI]]&lt;25,"Normal",IF(Table1[[#This Row],[BMI]]&lt;30,"Overweight","Obese")))</f>
        <v>Overweight</v>
      </c>
      <c r="H585">
        <v>25</v>
      </c>
      <c r="I585">
        <v>0.20599999999999999</v>
      </c>
      <c r="J585" t="str">
        <f>IF(Table1[[#This Row],[Age]]&lt;30,"Young (&lt;30)",IF(Table1[[#This Row],[Age]]&lt;=50,"Middle Age (30-50)","Older (&gt;50)"))</f>
        <v>Young (&lt;30)</v>
      </c>
      <c r="K585">
        <v>27</v>
      </c>
      <c r="L585">
        <v>0</v>
      </c>
    </row>
    <row r="586" spans="1:12" x14ac:dyDescent="0.3">
      <c r="A586">
        <v>6</v>
      </c>
      <c r="B586" t="str">
        <f>IF(Table1[[#This Row],[Glucose]]&lt;100,"Normal",IF(Table1[[#This Row],[Glucose]]&lt;126,"Prediabetes","High Risk"))</f>
        <v>Prediabetes</v>
      </c>
      <c r="C586">
        <v>103</v>
      </c>
      <c r="D586">
        <v>66</v>
      </c>
      <c r="E586">
        <v>0</v>
      </c>
      <c r="F586">
        <v>0</v>
      </c>
      <c r="G586" t="str">
        <f>IF(Table1[[#This Row],[BMI]]&lt;18.5,"Underweight",IF(Table1[[#This Row],[BMI]]&lt;25,"Normal",IF(Table1[[#This Row],[BMI]]&lt;30,"Overweight","Obese")))</f>
        <v>Normal</v>
      </c>
      <c r="H586">
        <v>24.3</v>
      </c>
      <c r="I586">
        <v>0.249</v>
      </c>
      <c r="J586" t="str">
        <f>IF(Table1[[#This Row],[Age]]&lt;30,"Young (&lt;30)",IF(Table1[[#This Row],[Age]]&lt;=50,"Middle Age (30-50)","Older (&gt;50)"))</f>
        <v>Young (&lt;30)</v>
      </c>
      <c r="K586">
        <v>29</v>
      </c>
      <c r="L586">
        <v>0</v>
      </c>
    </row>
    <row r="587" spans="1:12" x14ac:dyDescent="0.3">
      <c r="A587">
        <v>6</v>
      </c>
      <c r="B587" t="str">
        <f>IF(Table1[[#This Row],[Glucose]]&lt;100,"Normal",IF(Table1[[#This Row],[Glucose]]&lt;126,"Prediabetes","High Risk"))</f>
        <v>Prediabetes</v>
      </c>
      <c r="C587">
        <v>123</v>
      </c>
      <c r="D587">
        <v>72</v>
      </c>
      <c r="E587">
        <v>45</v>
      </c>
      <c r="F587">
        <v>230</v>
      </c>
      <c r="G587" t="str">
        <f>IF(Table1[[#This Row],[BMI]]&lt;18.5,"Underweight",IF(Table1[[#This Row],[BMI]]&lt;25,"Normal",IF(Table1[[#This Row],[BMI]]&lt;30,"Overweight","Obese")))</f>
        <v>Obese</v>
      </c>
      <c r="H587">
        <v>33.6</v>
      </c>
      <c r="I587">
        <v>0.73299999999999998</v>
      </c>
      <c r="J587" t="str">
        <f>IF(Table1[[#This Row],[Age]]&lt;30,"Young (&lt;30)",IF(Table1[[#This Row],[Age]]&lt;=50,"Middle Age (30-50)","Older (&gt;50)"))</f>
        <v>Middle Age (30-50)</v>
      </c>
      <c r="K587">
        <v>34</v>
      </c>
      <c r="L587">
        <v>0</v>
      </c>
    </row>
    <row r="588" spans="1:12" x14ac:dyDescent="0.3">
      <c r="A588">
        <v>6</v>
      </c>
      <c r="B588" t="str">
        <f>IF(Table1[[#This Row],[Glucose]]&lt;100,"Normal",IF(Table1[[#This Row],[Glucose]]&lt;126,"Prediabetes","High Risk"))</f>
        <v>Normal</v>
      </c>
      <c r="C588">
        <v>96</v>
      </c>
      <c r="D588">
        <v>0</v>
      </c>
      <c r="E588">
        <v>0</v>
      </c>
      <c r="F588">
        <v>0</v>
      </c>
      <c r="G588" t="str">
        <f>IF(Table1[[#This Row],[BMI]]&lt;18.5,"Underweight",IF(Table1[[#This Row],[BMI]]&lt;25,"Normal",IF(Table1[[#This Row],[BMI]]&lt;30,"Overweight","Obese")))</f>
        <v>Normal</v>
      </c>
      <c r="H588">
        <v>23.7</v>
      </c>
      <c r="I588">
        <v>0.19</v>
      </c>
      <c r="J588" t="str">
        <f>IF(Table1[[#This Row],[Age]]&lt;30,"Young (&lt;30)",IF(Table1[[#This Row],[Age]]&lt;=50,"Middle Age (30-50)","Older (&gt;50)"))</f>
        <v>Young (&lt;30)</v>
      </c>
      <c r="K588">
        <v>28</v>
      </c>
      <c r="L588">
        <v>0</v>
      </c>
    </row>
    <row r="589" spans="1:12" x14ac:dyDescent="0.3">
      <c r="A589">
        <v>6</v>
      </c>
      <c r="B589" t="str">
        <f>IF(Table1[[#This Row],[Glucose]]&lt;100,"Normal",IF(Table1[[#This Row],[Glucose]]&lt;126,"Prediabetes","High Risk"))</f>
        <v>Prediabetes</v>
      </c>
      <c r="C589">
        <v>105</v>
      </c>
      <c r="D589">
        <v>80</v>
      </c>
      <c r="E589">
        <v>28</v>
      </c>
      <c r="F589">
        <v>0</v>
      </c>
      <c r="G589" t="str">
        <f>IF(Table1[[#This Row],[BMI]]&lt;18.5,"Underweight",IF(Table1[[#This Row],[BMI]]&lt;25,"Normal",IF(Table1[[#This Row],[BMI]]&lt;30,"Overweight","Obese")))</f>
        <v>Obese</v>
      </c>
      <c r="H589">
        <v>32.5</v>
      </c>
      <c r="I589">
        <v>0.878</v>
      </c>
      <c r="J589" t="str">
        <f>IF(Table1[[#This Row],[Age]]&lt;30,"Young (&lt;30)",IF(Table1[[#This Row],[Age]]&lt;=50,"Middle Age (30-50)","Older (&gt;50)"))</f>
        <v>Young (&lt;30)</v>
      </c>
      <c r="K589">
        <v>26</v>
      </c>
      <c r="L589">
        <v>0</v>
      </c>
    </row>
    <row r="590" spans="1:12" x14ac:dyDescent="0.3">
      <c r="A590">
        <v>6</v>
      </c>
      <c r="B590" t="str">
        <f>IF(Table1[[#This Row],[Glucose]]&lt;100,"Normal",IF(Table1[[#This Row],[Glucose]]&lt;126,"Prediabetes","High Risk"))</f>
        <v>Prediabetes</v>
      </c>
      <c r="C590">
        <v>117</v>
      </c>
      <c r="D590">
        <v>96</v>
      </c>
      <c r="E590">
        <v>0</v>
      </c>
      <c r="F590">
        <v>0</v>
      </c>
      <c r="G590" t="str">
        <f>IF(Table1[[#This Row],[BMI]]&lt;18.5,"Underweight",IF(Table1[[#This Row],[BMI]]&lt;25,"Normal",IF(Table1[[#This Row],[BMI]]&lt;30,"Overweight","Obese")))</f>
        <v>Overweight</v>
      </c>
      <c r="H590">
        <v>28.7</v>
      </c>
      <c r="I590">
        <v>0.157</v>
      </c>
      <c r="J590" t="str">
        <f>IF(Table1[[#This Row],[Age]]&lt;30,"Young (&lt;30)",IF(Table1[[#This Row],[Age]]&lt;=50,"Middle Age (30-50)","Older (&gt;50)"))</f>
        <v>Middle Age (30-50)</v>
      </c>
      <c r="K590">
        <v>30</v>
      </c>
      <c r="L590">
        <v>0</v>
      </c>
    </row>
    <row r="591" spans="1:12" x14ac:dyDescent="0.3">
      <c r="A591">
        <v>6</v>
      </c>
      <c r="B591" t="str">
        <f>IF(Table1[[#This Row],[Glucose]]&lt;100,"Normal",IF(Table1[[#This Row],[Glucose]]&lt;126,"Prediabetes","High Risk"))</f>
        <v>High Risk</v>
      </c>
      <c r="C591">
        <v>183</v>
      </c>
      <c r="D591">
        <v>94</v>
      </c>
      <c r="E591">
        <v>0</v>
      </c>
      <c r="F591">
        <v>0</v>
      </c>
      <c r="G591" t="str">
        <f>IF(Table1[[#This Row],[BMI]]&lt;18.5,"Underweight",IF(Table1[[#This Row],[BMI]]&lt;25,"Normal",IF(Table1[[#This Row],[BMI]]&lt;30,"Overweight","Obese")))</f>
        <v>Obese</v>
      </c>
      <c r="H591">
        <v>40.799999999999997</v>
      </c>
      <c r="I591">
        <v>1.4610000000000001</v>
      </c>
      <c r="J591" t="str">
        <f>IF(Table1[[#This Row],[Age]]&lt;30,"Young (&lt;30)",IF(Table1[[#This Row],[Age]]&lt;=50,"Middle Age (30-50)","Older (&gt;50)"))</f>
        <v>Middle Age (30-50)</v>
      </c>
      <c r="K591">
        <v>45</v>
      </c>
      <c r="L591">
        <v>0</v>
      </c>
    </row>
    <row r="592" spans="1:12" x14ac:dyDescent="0.3">
      <c r="A592">
        <v>6</v>
      </c>
      <c r="B592" t="str">
        <f>IF(Table1[[#This Row],[Glucose]]&lt;100,"Normal",IF(Table1[[#This Row],[Glucose]]&lt;126,"Prediabetes","High Risk"))</f>
        <v>High Risk</v>
      </c>
      <c r="C592">
        <v>147</v>
      </c>
      <c r="D592">
        <v>80</v>
      </c>
      <c r="E592">
        <v>0</v>
      </c>
      <c r="F592">
        <v>0</v>
      </c>
      <c r="G592" t="str">
        <f>IF(Table1[[#This Row],[BMI]]&lt;18.5,"Underweight",IF(Table1[[#This Row],[BMI]]&lt;25,"Normal",IF(Table1[[#This Row],[BMI]]&lt;30,"Overweight","Obese")))</f>
        <v>Overweight</v>
      </c>
      <c r="H592">
        <v>29.5</v>
      </c>
      <c r="I592">
        <v>0.17799999999999999</v>
      </c>
      <c r="J592" t="str">
        <f>IF(Table1[[#This Row],[Age]]&lt;30,"Young (&lt;30)",IF(Table1[[#This Row],[Age]]&lt;=50,"Middle Age (30-50)","Older (&gt;50)"))</f>
        <v>Middle Age (30-50)</v>
      </c>
      <c r="K592">
        <v>50</v>
      </c>
      <c r="L592">
        <v>1</v>
      </c>
    </row>
    <row r="593" spans="1:12" x14ac:dyDescent="0.3">
      <c r="A593">
        <v>6</v>
      </c>
      <c r="B593" t="str">
        <f>IF(Table1[[#This Row],[Glucose]]&lt;100,"Normal",IF(Table1[[#This Row],[Glucose]]&lt;126,"Prediabetes","High Risk"))</f>
        <v>Prediabetes</v>
      </c>
      <c r="C593">
        <v>115</v>
      </c>
      <c r="D593">
        <v>60</v>
      </c>
      <c r="E593">
        <v>39</v>
      </c>
      <c r="F593">
        <v>0</v>
      </c>
      <c r="G593" t="str">
        <f>IF(Table1[[#This Row],[BMI]]&lt;18.5,"Underweight",IF(Table1[[#This Row],[BMI]]&lt;25,"Normal",IF(Table1[[#This Row],[BMI]]&lt;30,"Overweight","Obese")))</f>
        <v>Obese</v>
      </c>
      <c r="H593">
        <v>33.700000000000003</v>
      </c>
      <c r="I593">
        <v>0.245</v>
      </c>
      <c r="J593" t="str">
        <f>IF(Table1[[#This Row],[Age]]&lt;30,"Young (&lt;30)",IF(Table1[[#This Row],[Age]]&lt;=50,"Middle Age (30-50)","Older (&gt;50)"))</f>
        <v>Middle Age (30-50)</v>
      </c>
      <c r="K593">
        <v>40</v>
      </c>
      <c r="L593">
        <v>1</v>
      </c>
    </row>
    <row r="594" spans="1:12" x14ac:dyDescent="0.3">
      <c r="A594">
        <v>6</v>
      </c>
      <c r="B594" t="str">
        <f>IF(Table1[[#This Row],[Glucose]]&lt;100,"Normal",IF(Table1[[#This Row],[Glucose]]&lt;126,"Prediabetes","High Risk"))</f>
        <v>Normal</v>
      </c>
      <c r="C594">
        <v>98</v>
      </c>
      <c r="D594">
        <v>58</v>
      </c>
      <c r="E594">
        <v>33</v>
      </c>
      <c r="F594">
        <v>190</v>
      </c>
      <c r="G594" t="str">
        <f>IF(Table1[[#This Row],[BMI]]&lt;18.5,"Underweight",IF(Table1[[#This Row],[BMI]]&lt;25,"Normal",IF(Table1[[#This Row],[BMI]]&lt;30,"Overweight","Obese")))</f>
        <v>Obese</v>
      </c>
      <c r="H594">
        <v>34</v>
      </c>
      <c r="I594">
        <v>0.43</v>
      </c>
      <c r="J594" t="str">
        <f>IF(Table1[[#This Row],[Age]]&lt;30,"Young (&lt;30)",IF(Table1[[#This Row],[Age]]&lt;=50,"Middle Age (30-50)","Older (&gt;50)"))</f>
        <v>Middle Age (30-50)</v>
      </c>
      <c r="K594">
        <v>43</v>
      </c>
      <c r="L594">
        <v>0</v>
      </c>
    </row>
    <row r="595" spans="1:12" x14ac:dyDescent="0.3">
      <c r="A595">
        <v>6</v>
      </c>
      <c r="B595" t="str">
        <f>IF(Table1[[#This Row],[Glucose]]&lt;100,"Normal",IF(Table1[[#This Row],[Glucose]]&lt;126,"Prediabetes","High Risk"))</f>
        <v>High Risk</v>
      </c>
      <c r="C595">
        <v>165</v>
      </c>
      <c r="D595">
        <v>68</v>
      </c>
      <c r="E595">
        <v>26</v>
      </c>
      <c r="F595">
        <v>168</v>
      </c>
      <c r="G595" t="str">
        <f>IF(Table1[[#This Row],[BMI]]&lt;18.5,"Underweight",IF(Table1[[#This Row],[BMI]]&lt;25,"Normal",IF(Table1[[#This Row],[BMI]]&lt;30,"Overweight","Obese")))</f>
        <v>Obese</v>
      </c>
      <c r="H595">
        <v>33.6</v>
      </c>
      <c r="I595">
        <v>0.63100000000000001</v>
      </c>
      <c r="J595" t="str">
        <f>IF(Table1[[#This Row],[Age]]&lt;30,"Young (&lt;30)",IF(Table1[[#This Row],[Age]]&lt;=50,"Middle Age (30-50)","Older (&gt;50)"))</f>
        <v>Middle Age (30-50)</v>
      </c>
      <c r="K595">
        <v>49</v>
      </c>
      <c r="L595">
        <v>0</v>
      </c>
    </row>
    <row r="596" spans="1:12" x14ac:dyDescent="0.3">
      <c r="A596">
        <v>6</v>
      </c>
      <c r="B596" t="str">
        <f>IF(Table1[[#This Row],[Glucose]]&lt;100,"Normal",IF(Table1[[#This Row],[Glucose]]&lt;126,"Prediabetes","High Risk"))</f>
        <v>High Risk</v>
      </c>
      <c r="C596">
        <v>195</v>
      </c>
      <c r="D596">
        <v>70</v>
      </c>
      <c r="E596">
        <v>0</v>
      </c>
      <c r="F596">
        <v>0</v>
      </c>
      <c r="G596" t="str">
        <f>IF(Table1[[#This Row],[BMI]]&lt;18.5,"Underweight",IF(Table1[[#This Row],[BMI]]&lt;25,"Normal",IF(Table1[[#This Row],[BMI]]&lt;30,"Overweight","Obese")))</f>
        <v>Obese</v>
      </c>
      <c r="H596">
        <v>30.9</v>
      </c>
      <c r="I596">
        <v>0.32800000000000001</v>
      </c>
      <c r="J596" t="str">
        <f>IF(Table1[[#This Row],[Age]]&lt;30,"Young (&lt;30)",IF(Table1[[#This Row],[Age]]&lt;=50,"Middle Age (30-50)","Older (&gt;50)"))</f>
        <v>Middle Age (30-50)</v>
      </c>
      <c r="K596">
        <v>31</v>
      </c>
      <c r="L596">
        <v>1</v>
      </c>
    </row>
    <row r="597" spans="1:12" x14ac:dyDescent="0.3">
      <c r="A597">
        <v>6</v>
      </c>
      <c r="B597" t="str">
        <f>IF(Table1[[#This Row],[Glucose]]&lt;100,"Normal",IF(Table1[[#This Row],[Glucose]]&lt;126,"Prediabetes","High Risk"))</f>
        <v>Prediabetes</v>
      </c>
      <c r="C597">
        <v>125</v>
      </c>
      <c r="D597">
        <v>78</v>
      </c>
      <c r="E597">
        <v>31</v>
      </c>
      <c r="F597">
        <v>0</v>
      </c>
      <c r="G597" t="str">
        <f>IF(Table1[[#This Row],[BMI]]&lt;18.5,"Underweight",IF(Table1[[#This Row],[BMI]]&lt;25,"Normal",IF(Table1[[#This Row],[BMI]]&lt;30,"Overweight","Obese")))</f>
        <v>Overweight</v>
      </c>
      <c r="H597">
        <v>27.6</v>
      </c>
      <c r="I597">
        <v>0.56499999999999995</v>
      </c>
      <c r="J597" t="str">
        <f>IF(Table1[[#This Row],[Age]]&lt;30,"Young (&lt;30)",IF(Table1[[#This Row],[Age]]&lt;=50,"Middle Age (30-50)","Older (&gt;50)"))</f>
        <v>Middle Age (30-50)</v>
      </c>
      <c r="K597">
        <v>49</v>
      </c>
      <c r="L597">
        <v>1</v>
      </c>
    </row>
    <row r="598" spans="1:12" x14ac:dyDescent="0.3">
      <c r="A598">
        <v>6</v>
      </c>
      <c r="B598" t="str">
        <f>IF(Table1[[#This Row],[Glucose]]&lt;100,"Normal",IF(Table1[[#This Row],[Glucose]]&lt;126,"Prediabetes","High Risk"))</f>
        <v>Normal</v>
      </c>
      <c r="C598">
        <v>80</v>
      </c>
      <c r="D598">
        <v>80</v>
      </c>
      <c r="E598">
        <v>36</v>
      </c>
      <c r="F598">
        <v>0</v>
      </c>
      <c r="G598" t="str">
        <f>IF(Table1[[#This Row],[BMI]]&lt;18.5,"Underweight",IF(Table1[[#This Row],[BMI]]&lt;25,"Normal",IF(Table1[[#This Row],[BMI]]&lt;30,"Overweight","Obese")))</f>
        <v>Obese</v>
      </c>
      <c r="H598">
        <v>39.799999999999997</v>
      </c>
      <c r="I598">
        <v>0.17699999999999999</v>
      </c>
      <c r="J598" t="str">
        <f>IF(Table1[[#This Row],[Age]]&lt;30,"Young (&lt;30)",IF(Table1[[#This Row],[Age]]&lt;=50,"Middle Age (30-50)","Older (&gt;50)"))</f>
        <v>Young (&lt;30)</v>
      </c>
      <c r="K598">
        <v>28</v>
      </c>
      <c r="L598">
        <v>0</v>
      </c>
    </row>
    <row r="599" spans="1:12" x14ac:dyDescent="0.3">
      <c r="A599">
        <v>6</v>
      </c>
      <c r="B599" t="str">
        <f>IF(Table1[[#This Row],[Glucose]]&lt;100,"Normal",IF(Table1[[#This Row],[Glucose]]&lt;126,"Prediabetes","High Risk"))</f>
        <v>High Risk</v>
      </c>
      <c r="C599">
        <v>162</v>
      </c>
      <c r="D599">
        <v>62</v>
      </c>
      <c r="E599">
        <v>0</v>
      </c>
      <c r="F599">
        <v>0</v>
      </c>
      <c r="G599" t="str">
        <f>IF(Table1[[#This Row],[BMI]]&lt;18.5,"Underweight",IF(Table1[[#This Row],[BMI]]&lt;25,"Normal",IF(Table1[[#This Row],[BMI]]&lt;30,"Overweight","Obese")))</f>
        <v>Normal</v>
      </c>
      <c r="H599">
        <v>24.3</v>
      </c>
      <c r="I599">
        <v>0.17799999999999999</v>
      </c>
      <c r="J599" t="str">
        <f>IF(Table1[[#This Row],[Age]]&lt;30,"Young (&lt;30)",IF(Table1[[#This Row],[Age]]&lt;=50,"Middle Age (30-50)","Older (&gt;50)"))</f>
        <v>Middle Age (30-50)</v>
      </c>
      <c r="K599">
        <v>50</v>
      </c>
      <c r="L599">
        <v>1</v>
      </c>
    </row>
    <row r="600" spans="1:12" x14ac:dyDescent="0.3">
      <c r="A600">
        <v>6</v>
      </c>
      <c r="B600" t="str">
        <f>IF(Table1[[#This Row],[Glucose]]&lt;100,"Normal",IF(Table1[[#This Row],[Glucose]]&lt;126,"Prediabetes","High Risk"))</f>
        <v>High Risk</v>
      </c>
      <c r="C600">
        <v>190</v>
      </c>
      <c r="D600">
        <v>92</v>
      </c>
      <c r="E600">
        <v>0</v>
      </c>
      <c r="F600">
        <v>0</v>
      </c>
      <c r="G600" t="str">
        <f>IF(Table1[[#This Row],[BMI]]&lt;18.5,"Underweight",IF(Table1[[#This Row],[BMI]]&lt;25,"Normal",IF(Table1[[#This Row],[BMI]]&lt;30,"Overweight","Obese")))</f>
        <v>Obese</v>
      </c>
      <c r="H600">
        <v>35.5</v>
      </c>
      <c r="I600">
        <v>0.27800000000000002</v>
      </c>
      <c r="J600" t="str">
        <f>IF(Table1[[#This Row],[Age]]&lt;30,"Young (&lt;30)",IF(Table1[[#This Row],[Age]]&lt;=50,"Middle Age (30-50)","Older (&gt;50)"))</f>
        <v>Older (&gt;50)</v>
      </c>
      <c r="K600">
        <v>66</v>
      </c>
      <c r="L600">
        <v>1</v>
      </c>
    </row>
    <row r="601" spans="1:12" x14ac:dyDescent="0.3">
      <c r="A601">
        <v>7</v>
      </c>
      <c r="B601" t="str">
        <f>IF(Table1[[#This Row],[Glucose]]&lt;100,"Normal",IF(Table1[[#This Row],[Glucose]]&lt;126,"Prediabetes","High Risk"))</f>
        <v>Prediabetes</v>
      </c>
      <c r="C601">
        <v>100</v>
      </c>
      <c r="D601">
        <v>0</v>
      </c>
      <c r="E601">
        <v>0</v>
      </c>
      <c r="F601">
        <v>0</v>
      </c>
      <c r="G601" t="str">
        <f>IF(Table1[[#This Row],[BMI]]&lt;18.5,"Underweight",IF(Table1[[#This Row],[BMI]]&lt;25,"Normal",IF(Table1[[#This Row],[BMI]]&lt;30,"Overweight","Obese")))</f>
        <v>Obese</v>
      </c>
      <c r="H601">
        <v>30</v>
      </c>
      <c r="I601">
        <v>0.48399999999999999</v>
      </c>
      <c r="J601" t="str">
        <f>IF(Table1[[#This Row],[Age]]&lt;30,"Young (&lt;30)",IF(Table1[[#This Row],[Age]]&lt;=50,"Middle Age (30-50)","Older (&gt;50)"))</f>
        <v>Middle Age (30-50)</v>
      </c>
      <c r="K601">
        <v>32</v>
      </c>
      <c r="L601">
        <v>1</v>
      </c>
    </row>
    <row r="602" spans="1:12" x14ac:dyDescent="0.3">
      <c r="A602">
        <v>7</v>
      </c>
      <c r="B602" t="str">
        <f>IF(Table1[[#This Row],[Glucose]]&lt;100,"Normal",IF(Table1[[#This Row],[Glucose]]&lt;126,"Prediabetes","High Risk"))</f>
        <v>Prediabetes</v>
      </c>
      <c r="C602">
        <v>107</v>
      </c>
      <c r="D602">
        <v>74</v>
      </c>
      <c r="E602">
        <v>0</v>
      </c>
      <c r="F602">
        <v>0</v>
      </c>
      <c r="G602" t="str">
        <f>IF(Table1[[#This Row],[BMI]]&lt;18.5,"Underweight",IF(Table1[[#This Row],[BMI]]&lt;25,"Normal",IF(Table1[[#This Row],[BMI]]&lt;30,"Overweight","Obese")))</f>
        <v>Overweight</v>
      </c>
      <c r="H602">
        <v>29.6</v>
      </c>
      <c r="I602">
        <v>0.254</v>
      </c>
      <c r="J602" t="str">
        <f>IF(Table1[[#This Row],[Age]]&lt;30,"Young (&lt;30)",IF(Table1[[#This Row],[Age]]&lt;=50,"Middle Age (30-50)","Older (&gt;50)"))</f>
        <v>Middle Age (30-50)</v>
      </c>
      <c r="K602">
        <v>31</v>
      </c>
      <c r="L602">
        <v>1</v>
      </c>
    </row>
    <row r="603" spans="1:12" x14ac:dyDescent="0.3">
      <c r="A603">
        <v>7</v>
      </c>
      <c r="B603" t="str">
        <f>IF(Table1[[#This Row],[Glucose]]&lt;100,"Normal",IF(Table1[[#This Row],[Glucose]]&lt;126,"Prediabetes","High Risk"))</f>
        <v>High Risk</v>
      </c>
      <c r="C603">
        <v>196</v>
      </c>
      <c r="D603">
        <v>90</v>
      </c>
      <c r="E603">
        <v>0</v>
      </c>
      <c r="F603">
        <v>0</v>
      </c>
      <c r="G603" t="str">
        <f>IF(Table1[[#This Row],[BMI]]&lt;18.5,"Underweight",IF(Table1[[#This Row],[BMI]]&lt;25,"Normal",IF(Table1[[#This Row],[BMI]]&lt;30,"Overweight","Obese")))</f>
        <v>Obese</v>
      </c>
      <c r="H603">
        <v>39.799999999999997</v>
      </c>
      <c r="I603">
        <v>0.45100000000000001</v>
      </c>
      <c r="J603" t="str">
        <f>IF(Table1[[#This Row],[Age]]&lt;30,"Young (&lt;30)",IF(Table1[[#This Row],[Age]]&lt;=50,"Middle Age (30-50)","Older (&gt;50)"))</f>
        <v>Middle Age (30-50)</v>
      </c>
      <c r="K603">
        <v>41</v>
      </c>
      <c r="L603">
        <v>1</v>
      </c>
    </row>
    <row r="604" spans="1:12" x14ac:dyDescent="0.3">
      <c r="A604">
        <v>7</v>
      </c>
      <c r="B604" t="str">
        <f>IF(Table1[[#This Row],[Glucose]]&lt;100,"Normal",IF(Table1[[#This Row],[Glucose]]&lt;126,"Prediabetes","High Risk"))</f>
        <v>High Risk</v>
      </c>
      <c r="C604">
        <v>147</v>
      </c>
      <c r="D604">
        <v>76</v>
      </c>
      <c r="E604">
        <v>0</v>
      </c>
      <c r="F604">
        <v>0</v>
      </c>
      <c r="G604" t="str">
        <f>IF(Table1[[#This Row],[BMI]]&lt;18.5,"Underweight",IF(Table1[[#This Row],[BMI]]&lt;25,"Normal",IF(Table1[[#This Row],[BMI]]&lt;30,"Overweight","Obese")))</f>
        <v>Obese</v>
      </c>
      <c r="H604">
        <v>39.4</v>
      </c>
      <c r="I604">
        <v>0.25700000000000001</v>
      </c>
      <c r="J604" t="str">
        <f>IF(Table1[[#This Row],[Age]]&lt;30,"Young (&lt;30)",IF(Table1[[#This Row],[Age]]&lt;=50,"Middle Age (30-50)","Older (&gt;50)"))</f>
        <v>Middle Age (30-50)</v>
      </c>
      <c r="K604">
        <v>43</v>
      </c>
      <c r="L604">
        <v>1</v>
      </c>
    </row>
    <row r="605" spans="1:12" x14ac:dyDescent="0.3">
      <c r="A605">
        <v>7</v>
      </c>
      <c r="B605" t="str">
        <f>IF(Table1[[#This Row],[Glucose]]&lt;100,"Normal",IF(Table1[[#This Row],[Glucose]]&lt;126,"Prediabetes","High Risk"))</f>
        <v>High Risk</v>
      </c>
      <c r="C605">
        <v>133</v>
      </c>
      <c r="D605">
        <v>84</v>
      </c>
      <c r="E605">
        <v>0</v>
      </c>
      <c r="F605">
        <v>0</v>
      </c>
      <c r="G605" t="str">
        <f>IF(Table1[[#This Row],[BMI]]&lt;18.5,"Underweight",IF(Table1[[#This Row],[BMI]]&lt;25,"Normal",IF(Table1[[#This Row],[BMI]]&lt;30,"Overweight","Obese")))</f>
        <v>Obese</v>
      </c>
      <c r="H605">
        <v>40.200000000000003</v>
      </c>
      <c r="I605">
        <v>0.69599999999999995</v>
      </c>
      <c r="J605" t="str">
        <f>IF(Table1[[#This Row],[Age]]&lt;30,"Young (&lt;30)",IF(Table1[[#This Row],[Age]]&lt;=50,"Middle Age (30-50)","Older (&gt;50)"))</f>
        <v>Middle Age (30-50)</v>
      </c>
      <c r="K605">
        <v>37</v>
      </c>
      <c r="L605">
        <v>0</v>
      </c>
    </row>
    <row r="606" spans="1:12" x14ac:dyDescent="0.3">
      <c r="A606">
        <v>7</v>
      </c>
      <c r="B606" t="str">
        <f>IF(Table1[[#This Row],[Glucose]]&lt;100,"Normal",IF(Table1[[#This Row],[Glucose]]&lt;126,"Prediabetes","High Risk"))</f>
        <v>Prediabetes</v>
      </c>
      <c r="C606">
        <v>106</v>
      </c>
      <c r="D606">
        <v>92</v>
      </c>
      <c r="E606">
        <v>18</v>
      </c>
      <c r="F606">
        <v>0</v>
      </c>
      <c r="G606" t="str">
        <f>IF(Table1[[#This Row],[BMI]]&lt;18.5,"Underweight",IF(Table1[[#This Row],[BMI]]&lt;25,"Normal",IF(Table1[[#This Row],[BMI]]&lt;30,"Overweight","Obese")))</f>
        <v>Normal</v>
      </c>
      <c r="H606">
        <v>22.7</v>
      </c>
      <c r="I606">
        <v>0.23499999999999999</v>
      </c>
      <c r="J606" t="str">
        <f>IF(Table1[[#This Row],[Age]]&lt;30,"Young (&lt;30)",IF(Table1[[#This Row],[Age]]&lt;=50,"Middle Age (30-50)","Older (&gt;50)"))</f>
        <v>Middle Age (30-50)</v>
      </c>
      <c r="K606">
        <v>48</v>
      </c>
      <c r="L606">
        <v>0</v>
      </c>
    </row>
    <row r="607" spans="1:12" x14ac:dyDescent="0.3">
      <c r="A607">
        <v>7</v>
      </c>
      <c r="B607" t="str">
        <f>IF(Table1[[#This Row],[Glucose]]&lt;100,"Normal",IF(Table1[[#This Row],[Glucose]]&lt;126,"Prediabetes","High Risk"))</f>
        <v>High Risk</v>
      </c>
      <c r="C607">
        <v>159</v>
      </c>
      <c r="D607">
        <v>64</v>
      </c>
      <c r="E607">
        <v>0</v>
      </c>
      <c r="F607">
        <v>0</v>
      </c>
      <c r="G607" t="str">
        <f>IF(Table1[[#This Row],[BMI]]&lt;18.5,"Underweight",IF(Table1[[#This Row],[BMI]]&lt;25,"Normal",IF(Table1[[#This Row],[BMI]]&lt;30,"Overweight","Obese")))</f>
        <v>Overweight</v>
      </c>
      <c r="H607">
        <v>27.4</v>
      </c>
      <c r="I607">
        <v>0.29399999999999998</v>
      </c>
      <c r="J607" t="str">
        <f>IF(Table1[[#This Row],[Age]]&lt;30,"Young (&lt;30)",IF(Table1[[#This Row],[Age]]&lt;=50,"Middle Age (30-50)","Older (&gt;50)"))</f>
        <v>Middle Age (30-50)</v>
      </c>
      <c r="K607">
        <v>40</v>
      </c>
      <c r="L607">
        <v>0</v>
      </c>
    </row>
    <row r="608" spans="1:12" x14ac:dyDescent="0.3">
      <c r="A608">
        <v>7</v>
      </c>
      <c r="B608" t="str">
        <f>IF(Table1[[#This Row],[Glucose]]&lt;100,"Normal",IF(Table1[[#This Row],[Glucose]]&lt;126,"Prediabetes","High Risk"))</f>
        <v>Prediabetes</v>
      </c>
      <c r="C608">
        <v>103</v>
      </c>
      <c r="D608">
        <v>66</v>
      </c>
      <c r="E608">
        <v>32</v>
      </c>
      <c r="F608">
        <v>0</v>
      </c>
      <c r="G608" t="str">
        <f>IF(Table1[[#This Row],[BMI]]&lt;18.5,"Underweight",IF(Table1[[#This Row],[BMI]]&lt;25,"Normal",IF(Table1[[#This Row],[BMI]]&lt;30,"Overweight","Obese")))</f>
        <v>Obese</v>
      </c>
      <c r="H608">
        <v>39.1</v>
      </c>
      <c r="I608">
        <v>0.34399999999999997</v>
      </c>
      <c r="J608" t="str">
        <f>IF(Table1[[#This Row],[Age]]&lt;30,"Young (&lt;30)",IF(Table1[[#This Row],[Age]]&lt;=50,"Middle Age (30-50)","Older (&gt;50)"))</f>
        <v>Middle Age (30-50)</v>
      </c>
      <c r="K608">
        <v>31</v>
      </c>
      <c r="L608">
        <v>1</v>
      </c>
    </row>
    <row r="609" spans="1:12" x14ac:dyDescent="0.3">
      <c r="A609">
        <v>7</v>
      </c>
      <c r="B609" t="str">
        <f>IF(Table1[[#This Row],[Glucose]]&lt;100,"Normal",IF(Table1[[#This Row],[Glucose]]&lt;126,"Prediabetes","High Risk"))</f>
        <v>Prediabetes</v>
      </c>
      <c r="C609">
        <v>105</v>
      </c>
      <c r="D609">
        <v>0</v>
      </c>
      <c r="E609">
        <v>0</v>
      </c>
      <c r="F609">
        <v>0</v>
      </c>
      <c r="G609" t="str">
        <f>IF(Table1[[#This Row],[BMI]]&lt;18.5,"Underweight",IF(Table1[[#This Row],[BMI]]&lt;25,"Normal",IF(Table1[[#This Row],[BMI]]&lt;30,"Overweight","Obese")))</f>
        <v>Underweight</v>
      </c>
      <c r="H609">
        <v>0</v>
      </c>
      <c r="I609">
        <v>0.30499999999999999</v>
      </c>
      <c r="J609" t="str">
        <f>IF(Table1[[#This Row],[Age]]&lt;30,"Young (&lt;30)",IF(Table1[[#This Row],[Age]]&lt;=50,"Middle Age (30-50)","Older (&gt;50)"))</f>
        <v>Young (&lt;30)</v>
      </c>
      <c r="K609">
        <v>24</v>
      </c>
      <c r="L609">
        <v>0</v>
      </c>
    </row>
    <row r="610" spans="1:12" x14ac:dyDescent="0.3">
      <c r="A610">
        <v>7</v>
      </c>
      <c r="B610" t="str">
        <f>IF(Table1[[#This Row],[Glucose]]&lt;100,"Normal",IF(Table1[[#This Row],[Glucose]]&lt;126,"Prediabetes","High Risk"))</f>
        <v>High Risk</v>
      </c>
      <c r="C610">
        <v>150</v>
      </c>
      <c r="D610">
        <v>66</v>
      </c>
      <c r="E610">
        <v>42</v>
      </c>
      <c r="F610">
        <v>342</v>
      </c>
      <c r="G610" t="str">
        <f>IF(Table1[[#This Row],[BMI]]&lt;18.5,"Underweight",IF(Table1[[#This Row],[BMI]]&lt;25,"Normal",IF(Table1[[#This Row],[BMI]]&lt;30,"Overweight","Obese")))</f>
        <v>Obese</v>
      </c>
      <c r="H610">
        <v>34.700000000000003</v>
      </c>
      <c r="I610">
        <v>0.71799999999999997</v>
      </c>
      <c r="J610" t="str">
        <f>IF(Table1[[#This Row],[Age]]&lt;30,"Young (&lt;30)",IF(Table1[[#This Row],[Age]]&lt;=50,"Middle Age (30-50)","Older (&gt;50)"))</f>
        <v>Middle Age (30-50)</v>
      </c>
      <c r="K610">
        <v>42</v>
      </c>
      <c r="L610">
        <v>0</v>
      </c>
    </row>
    <row r="611" spans="1:12" x14ac:dyDescent="0.3">
      <c r="A611">
        <v>7</v>
      </c>
      <c r="B611" t="str">
        <f>IF(Table1[[#This Row],[Glucose]]&lt;100,"Normal",IF(Table1[[#This Row],[Glucose]]&lt;126,"Prediabetes","High Risk"))</f>
        <v>High Risk</v>
      </c>
      <c r="C611">
        <v>187</v>
      </c>
      <c r="D611">
        <v>68</v>
      </c>
      <c r="E611">
        <v>39</v>
      </c>
      <c r="F611">
        <v>304</v>
      </c>
      <c r="G611" t="str">
        <f>IF(Table1[[#This Row],[BMI]]&lt;18.5,"Underweight",IF(Table1[[#This Row],[BMI]]&lt;25,"Normal",IF(Table1[[#This Row],[BMI]]&lt;30,"Overweight","Obese")))</f>
        <v>Obese</v>
      </c>
      <c r="H611">
        <v>37.700000000000003</v>
      </c>
      <c r="I611">
        <v>0.254</v>
      </c>
      <c r="J611" t="str">
        <f>IF(Table1[[#This Row],[Age]]&lt;30,"Young (&lt;30)",IF(Table1[[#This Row],[Age]]&lt;=50,"Middle Age (30-50)","Older (&gt;50)"))</f>
        <v>Middle Age (30-50)</v>
      </c>
      <c r="K611">
        <v>41</v>
      </c>
      <c r="L611">
        <v>1</v>
      </c>
    </row>
    <row r="612" spans="1:12" x14ac:dyDescent="0.3">
      <c r="A612">
        <v>7</v>
      </c>
      <c r="B612" t="str">
        <f>IF(Table1[[#This Row],[Glucose]]&lt;100,"Normal",IF(Table1[[#This Row],[Glucose]]&lt;126,"Prediabetes","High Risk"))</f>
        <v>Prediabetes</v>
      </c>
      <c r="C612">
        <v>114</v>
      </c>
      <c r="D612">
        <v>66</v>
      </c>
      <c r="E612">
        <v>0</v>
      </c>
      <c r="F612">
        <v>0</v>
      </c>
      <c r="G612" t="str">
        <f>IF(Table1[[#This Row],[BMI]]&lt;18.5,"Underweight",IF(Table1[[#This Row],[BMI]]&lt;25,"Normal",IF(Table1[[#This Row],[BMI]]&lt;30,"Overweight","Obese")))</f>
        <v>Obese</v>
      </c>
      <c r="H612">
        <v>32.799999999999997</v>
      </c>
      <c r="I612">
        <v>0.25800000000000001</v>
      </c>
      <c r="J612" t="str">
        <f>IF(Table1[[#This Row],[Age]]&lt;30,"Young (&lt;30)",IF(Table1[[#This Row],[Age]]&lt;=50,"Middle Age (30-50)","Older (&gt;50)"))</f>
        <v>Middle Age (30-50)</v>
      </c>
      <c r="K612">
        <v>42</v>
      </c>
      <c r="L612">
        <v>1</v>
      </c>
    </row>
    <row r="613" spans="1:12" x14ac:dyDescent="0.3">
      <c r="A613">
        <v>7</v>
      </c>
      <c r="B613" t="str">
        <f>IF(Table1[[#This Row],[Glucose]]&lt;100,"Normal",IF(Table1[[#This Row],[Glucose]]&lt;126,"Prediabetes","High Risk"))</f>
        <v>Normal</v>
      </c>
      <c r="C613">
        <v>62</v>
      </c>
      <c r="D613">
        <v>78</v>
      </c>
      <c r="E613">
        <v>0</v>
      </c>
      <c r="F613">
        <v>0</v>
      </c>
      <c r="G613" t="str">
        <f>IF(Table1[[#This Row],[BMI]]&lt;18.5,"Underweight",IF(Table1[[#This Row],[BMI]]&lt;25,"Normal",IF(Table1[[#This Row],[BMI]]&lt;30,"Overweight","Obese")))</f>
        <v>Obese</v>
      </c>
      <c r="H613">
        <v>32.6</v>
      </c>
      <c r="I613">
        <v>0.39100000000000001</v>
      </c>
      <c r="J613" t="str">
        <f>IF(Table1[[#This Row],[Age]]&lt;30,"Young (&lt;30)",IF(Table1[[#This Row],[Age]]&lt;=50,"Middle Age (30-50)","Older (&gt;50)"))</f>
        <v>Middle Age (30-50)</v>
      </c>
      <c r="K613">
        <v>41</v>
      </c>
      <c r="L613">
        <v>0</v>
      </c>
    </row>
    <row r="614" spans="1:12" x14ac:dyDescent="0.3">
      <c r="A614">
        <v>7</v>
      </c>
      <c r="B614" t="str">
        <f>IF(Table1[[#This Row],[Glucose]]&lt;100,"Normal",IF(Table1[[#This Row],[Glucose]]&lt;126,"Prediabetes","High Risk"))</f>
        <v>Normal</v>
      </c>
      <c r="C614">
        <v>83</v>
      </c>
      <c r="D614">
        <v>78</v>
      </c>
      <c r="E614">
        <v>26</v>
      </c>
      <c r="F614">
        <v>71</v>
      </c>
      <c r="G614" t="str">
        <f>IF(Table1[[#This Row],[BMI]]&lt;18.5,"Underweight",IF(Table1[[#This Row],[BMI]]&lt;25,"Normal",IF(Table1[[#This Row],[BMI]]&lt;30,"Overweight","Obese")))</f>
        <v>Overweight</v>
      </c>
      <c r="H614">
        <v>29.3</v>
      </c>
      <c r="I614">
        <v>0.76700000000000002</v>
      </c>
      <c r="J614" t="str">
        <f>IF(Table1[[#This Row],[Age]]&lt;30,"Young (&lt;30)",IF(Table1[[#This Row],[Age]]&lt;=50,"Middle Age (30-50)","Older (&gt;50)"))</f>
        <v>Middle Age (30-50)</v>
      </c>
      <c r="K614">
        <v>36</v>
      </c>
      <c r="L614">
        <v>0</v>
      </c>
    </row>
    <row r="615" spans="1:12" x14ac:dyDescent="0.3">
      <c r="A615">
        <v>7</v>
      </c>
      <c r="B615" t="str">
        <f>IF(Table1[[#This Row],[Glucose]]&lt;100,"Normal",IF(Table1[[#This Row],[Glucose]]&lt;126,"Prediabetes","High Risk"))</f>
        <v>Normal</v>
      </c>
      <c r="C615">
        <v>81</v>
      </c>
      <c r="D615">
        <v>78</v>
      </c>
      <c r="E615">
        <v>40</v>
      </c>
      <c r="F615">
        <v>48</v>
      </c>
      <c r="G615" t="str">
        <f>IF(Table1[[#This Row],[BMI]]&lt;18.5,"Underweight",IF(Table1[[#This Row],[BMI]]&lt;25,"Normal",IF(Table1[[#This Row],[BMI]]&lt;30,"Overweight","Obese")))</f>
        <v>Obese</v>
      </c>
      <c r="H615">
        <v>46.7</v>
      </c>
      <c r="I615">
        <v>0.26100000000000001</v>
      </c>
      <c r="J615" t="str">
        <f>IF(Table1[[#This Row],[Age]]&lt;30,"Young (&lt;30)",IF(Table1[[#This Row],[Age]]&lt;=50,"Middle Age (30-50)","Older (&gt;50)"))</f>
        <v>Middle Age (30-50)</v>
      </c>
      <c r="K615">
        <v>42</v>
      </c>
      <c r="L615">
        <v>0</v>
      </c>
    </row>
    <row r="616" spans="1:12" x14ac:dyDescent="0.3">
      <c r="A616">
        <v>7</v>
      </c>
      <c r="B616" t="str">
        <f>IF(Table1[[#This Row],[Glucose]]&lt;100,"Normal",IF(Table1[[#This Row],[Glucose]]&lt;126,"Prediabetes","High Risk"))</f>
        <v>High Risk</v>
      </c>
      <c r="C616">
        <v>160</v>
      </c>
      <c r="D616">
        <v>54</v>
      </c>
      <c r="E616">
        <v>32</v>
      </c>
      <c r="F616">
        <v>175</v>
      </c>
      <c r="G616" t="str">
        <f>IF(Table1[[#This Row],[BMI]]&lt;18.5,"Underweight",IF(Table1[[#This Row],[BMI]]&lt;25,"Normal",IF(Table1[[#This Row],[BMI]]&lt;30,"Overweight","Obese")))</f>
        <v>Obese</v>
      </c>
      <c r="H616">
        <v>30.5</v>
      </c>
      <c r="I616">
        <v>0.58799999999999997</v>
      </c>
      <c r="J616" t="str">
        <f>IF(Table1[[#This Row],[Age]]&lt;30,"Young (&lt;30)",IF(Table1[[#This Row],[Age]]&lt;=50,"Middle Age (30-50)","Older (&gt;50)"))</f>
        <v>Middle Age (30-50)</v>
      </c>
      <c r="K616">
        <v>39</v>
      </c>
      <c r="L616">
        <v>1</v>
      </c>
    </row>
    <row r="617" spans="1:12" x14ac:dyDescent="0.3">
      <c r="A617">
        <v>7</v>
      </c>
      <c r="B617" t="str">
        <f>IF(Table1[[#This Row],[Glucose]]&lt;100,"Normal",IF(Table1[[#This Row],[Glucose]]&lt;126,"Prediabetes","High Risk"))</f>
        <v>High Risk</v>
      </c>
      <c r="C617">
        <v>152</v>
      </c>
      <c r="D617">
        <v>88</v>
      </c>
      <c r="E617">
        <v>44</v>
      </c>
      <c r="F617">
        <v>0</v>
      </c>
      <c r="G617" t="str">
        <f>IF(Table1[[#This Row],[BMI]]&lt;18.5,"Underweight",IF(Table1[[#This Row],[BMI]]&lt;25,"Normal",IF(Table1[[#This Row],[BMI]]&lt;30,"Overweight","Obese")))</f>
        <v>Obese</v>
      </c>
      <c r="H617">
        <v>50</v>
      </c>
      <c r="I617">
        <v>0.33700000000000002</v>
      </c>
      <c r="J617" t="str">
        <f>IF(Table1[[#This Row],[Age]]&lt;30,"Young (&lt;30)",IF(Table1[[#This Row],[Age]]&lt;=50,"Middle Age (30-50)","Older (&gt;50)"))</f>
        <v>Middle Age (30-50)</v>
      </c>
      <c r="K617">
        <v>36</v>
      </c>
      <c r="L617">
        <v>1</v>
      </c>
    </row>
    <row r="618" spans="1:12" x14ac:dyDescent="0.3">
      <c r="A618">
        <v>7</v>
      </c>
      <c r="B618" t="str">
        <f>IF(Table1[[#This Row],[Glucose]]&lt;100,"Normal",IF(Table1[[#This Row],[Glucose]]&lt;126,"Prediabetes","High Risk"))</f>
        <v>Prediabetes</v>
      </c>
      <c r="C618">
        <v>102</v>
      </c>
      <c r="D618">
        <v>74</v>
      </c>
      <c r="E618">
        <v>40</v>
      </c>
      <c r="F618">
        <v>105</v>
      </c>
      <c r="G618" t="str">
        <f>IF(Table1[[#This Row],[BMI]]&lt;18.5,"Underweight",IF(Table1[[#This Row],[BMI]]&lt;25,"Normal",IF(Table1[[#This Row],[BMI]]&lt;30,"Overweight","Obese")))</f>
        <v>Obese</v>
      </c>
      <c r="H618">
        <v>37.200000000000003</v>
      </c>
      <c r="I618">
        <v>0.20399999999999999</v>
      </c>
      <c r="J618" t="str">
        <f>IF(Table1[[#This Row],[Age]]&lt;30,"Young (&lt;30)",IF(Table1[[#This Row],[Age]]&lt;=50,"Middle Age (30-50)","Older (&gt;50)"))</f>
        <v>Middle Age (30-50)</v>
      </c>
      <c r="K618">
        <v>45</v>
      </c>
      <c r="L618">
        <v>0</v>
      </c>
    </row>
    <row r="619" spans="1:12" x14ac:dyDescent="0.3">
      <c r="A619">
        <v>7</v>
      </c>
      <c r="B619" t="str">
        <f>IF(Table1[[#This Row],[Glucose]]&lt;100,"Normal",IF(Table1[[#This Row],[Glucose]]&lt;126,"Prediabetes","High Risk"))</f>
        <v>High Risk</v>
      </c>
      <c r="C619">
        <v>194</v>
      </c>
      <c r="D619">
        <v>68</v>
      </c>
      <c r="E619">
        <v>28</v>
      </c>
      <c r="F619">
        <v>0</v>
      </c>
      <c r="G619" t="str">
        <f>IF(Table1[[#This Row],[BMI]]&lt;18.5,"Underweight",IF(Table1[[#This Row],[BMI]]&lt;25,"Normal",IF(Table1[[#This Row],[BMI]]&lt;30,"Overweight","Obese")))</f>
        <v>Obese</v>
      </c>
      <c r="H619">
        <v>35.9</v>
      </c>
      <c r="I619">
        <v>0.745</v>
      </c>
      <c r="J619" t="str">
        <f>IF(Table1[[#This Row],[Age]]&lt;30,"Young (&lt;30)",IF(Table1[[#This Row],[Age]]&lt;=50,"Middle Age (30-50)","Older (&gt;50)"))</f>
        <v>Middle Age (30-50)</v>
      </c>
      <c r="K619">
        <v>41</v>
      </c>
      <c r="L619">
        <v>1</v>
      </c>
    </row>
    <row r="620" spans="1:12" x14ac:dyDescent="0.3">
      <c r="A620">
        <v>7</v>
      </c>
      <c r="B620" t="str">
        <f>IF(Table1[[#This Row],[Glucose]]&lt;100,"Normal",IF(Table1[[#This Row],[Glucose]]&lt;126,"Prediabetes","High Risk"))</f>
        <v>High Risk</v>
      </c>
      <c r="C620">
        <v>159</v>
      </c>
      <c r="D620">
        <v>66</v>
      </c>
      <c r="E620">
        <v>0</v>
      </c>
      <c r="F620">
        <v>0</v>
      </c>
      <c r="G620" t="str">
        <f>IF(Table1[[#This Row],[BMI]]&lt;18.5,"Underweight",IF(Table1[[#This Row],[BMI]]&lt;25,"Normal",IF(Table1[[#This Row],[BMI]]&lt;30,"Overweight","Obese")))</f>
        <v>Obese</v>
      </c>
      <c r="H620">
        <v>30.4</v>
      </c>
      <c r="I620">
        <v>0.38300000000000001</v>
      </c>
      <c r="J620" t="str">
        <f>IF(Table1[[#This Row],[Age]]&lt;30,"Young (&lt;30)",IF(Table1[[#This Row],[Age]]&lt;=50,"Middle Age (30-50)","Older (&gt;50)"))</f>
        <v>Middle Age (30-50)</v>
      </c>
      <c r="K620">
        <v>36</v>
      </c>
      <c r="L620">
        <v>1</v>
      </c>
    </row>
    <row r="621" spans="1:12" x14ac:dyDescent="0.3">
      <c r="A621">
        <v>7</v>
      </c>
      <c r="B621" t="str">
        <f>IF(Table1[[#This Row],[Glucose]]&lt;100,"Normal",IF(Table1[[#This Row],[Glucose]]&lt;126,"Prediabetes","High Risk"))</f>
        <v>High Risk</v>
      </c>
      <c r="C621">
        <v>184</v>
      </c>
      <c r="D621">
        <v>84</v>
      </c>
      <c r="E621">
        <v>33</v>
      </c>
      <c r="F621">
        <v>0</v>
      </c>
      <c r="G621" t="str">
        <f>IF(Table1[[#This Row],[BMI]]&lt;18.5,"Underweight",IF(Table1[[#This Row],[BMI]]&lt;25,"Normal",IF(Table1[[#This Row],[BMI]]&lt;30,"Overweight","Obese")))</f>
        <v>Obese</v>
      </c>
      <c r="H621">
        <v>35.5</v>
      </c>
      <c r="I621">
        <v>0.35499999999999998</v>
      </c>
      <c r="J621" t="str">
        <f>IF(Table1[[#This Row],[Age]]&lt;30,"Young (&lt;30)",IF(Table1[[#This Row],[Age]]&lt;=50,"Middle Age (30-50)","Older (&gt;50)"))</f>
        <v>Middle Age (30-50)</v>
      </c>
      <c r="K621">
        <v>41</v>
      </c>
      <c r="L621">
        <v>1</v>
      </c>
    </row>
    <row r="622" spans="1:12" x14ac:dyDescent="0.3">
      <c r="A622">
        <v>7</v>
      </c>
      <c r="B622" t="str">
        <f>IF(Table1[[#This Row],[Glucose]]&lt;100,"Normal",IF(Table1[[#This Row],[Glucose]]&lt;126,"Prediabetes","High Risk"))</f>
        <v>High Risk</v>
      </c>
      <c r="C622">
        <v>179</v>
      </c>
      <c r="D622">
        <v>95</v>
      </c>
      <c r="E622">
        <v>31</v>
      </c>
      <c r="F622">
        <v>0</v>
      </c>
      <c r="G622" t="str">
        <f>IF(Table1[[#This Row],[BMI]]&lt;18.5,"Underweight",IF(Table1[[#This Row],[BMI]]&lt;25,"Normal",IF(Table1[[#This Row],[BMI]]&lt;30,"Overweight","Obese")))</f>
        <v>Obese</v>
      </c>
      <c r="H622">
        <v>34.200000000000003</v>
      </c>
      <c r="I622">
        <v>0.16400000000000001</v>
      </c>
      <c r="J622" t="str">
        <f>IF(Table1[[#This Row],[Age]]&lt;30,"Young (&lt;30)",IF(Table1[[#This Row],[Age]]&lt;=50,"Middle Age (30-50)","Older (&gt;50)"))</f>
        <v>Older (&gt;50)</v>
      </c>
      <c r="K622">
        <v>60</v>
      </c>
      <c r="L622">
        <v>0</v>
      </c>
    </row>
    <row r="623" spans="1:12" x14ac:dyDescent="0.3">
      <c r="A623">
        <v>7</v>
      </c>
      <c r="B623" t="str">
        <f>IF(Table1[[#This Row],[Glucose]]&lt;100,"Normal",IF(Table1[[#This Row],[Glucose]]&lt;126,"Prediabetes","High Risk"))</f>
        <v>Prediabetes</v>
      </c>
      <c r="C623">
        <v>119</v>
      </c>
      <c r="D623">
        <v>0</v>
      </c>
      <c r="E623">
        <v>0</v>
      </c>
      <c r="F623">
        <v>0</v>
      </c>
      <c r="G623" t="str">
        <f>IF(Table1[[#This Row],[BMI]]&lt;18.5,"Underweight",IF(Table1[[#This Row],[BMI]]&lt;25,"Normal",IF(Table1[[#This Row],[BMI]]&lt;30,"Overweight","Obese")))</f>
        <v>Overweight</v>
      </c>
      <c r="H623">
        <v>25.2</v>
      </c>
      <c r="I623">
        <v>0.20899999999999999</v>
      </c>
      <c r="J623" t="str">
        <f>IF(Table1[[#This Row],[Age]]&lt;30,"Young (&lt;30)",IF(Table1[[#This Row],[Age]]&lt;=50,"Middle Age (30-50)","Older (&gt;50)"))</f>
        <v>Middle Age (30-50)</v>
      </c>
      <c r="K623">
        <v>37</v>
      </c>
      <c r="L623">
        <v>0</v>
      </c>
    </row>
    <row r="624" spans="1:12" x14ac:dyDescent="0.3">
      <c r="A624">
        <v>7</v>
      </c>
      <c r="B624" t="str">
        <f>IF(Table1[[#This Row],[Glucose]]&lt;100,"Normal",IF(Table1[[#This Row],[Glucose]]&lt;126,"Prediabetes","High Risk"))</f>
        <v>High Risk</v>
      </c>
      <c r="C624">
        <v>142</v>
      </c>
      <c r="D624">
        <v>60</v>
      </c>
      <c r="E624">
        <v>33</v>
      </c>
      <c r="F624">
        <v>190</v>
      </c>
      <c r="G624" t="str">
        <f>IF(Table1[[#This Row],[BMI]]&lt;18.5,"Underweight",IF(Table1[[#This Row],[BMI]]&lt;25,"Normal",IF(Table1[[#This Row],[BMI]]&lt;30,"Overweight","Obese")))</f>
        <v>Overweight</v>
      </c>
      <c r="H624">
        <v>28.8</v>
      </c>
      <c r="I624">
        <v>0.68700000000000006</v>
      </c>
      <c r="J624" t="str">
        <f>IF(Table1[[#This Row],[Age]]&lt;30,"Young (&lt;30)",IF(Table1[[#This Row],[Age]]&lt;=50,"Middle Age (30-50)","Older (&gt;50)"))</f>
        <v>Older (&gt;50)</v>
      </c>
      <c r="K624">
        <v>61</v>
      </c>
      <c r="L624">
        <v>0</v>
      </c>
    </row>
    <row r="625" spans="1:12" x14ac:dyDescent="0.3">
      <c r="A625">
        <v>7</v>
      </c>
      <c r="B625" t="str">
        <f>IF(Table1[[#This Row],[Glucose]]&lt;100,"Normal",IF(Table1[[#This Row],[Glucose]]&lt;126,"Prediabetes","High Risk"))</f>
        <v>High Risk</v>
      </c>
      <c r="C625">
        <v>181</v>
      </c>
      <c r="D625">
        <v>84</v>
      </c>
      <c r="E625">
        <v>21</v>
      </c>
      <c r="F625">
        <v>192</v>
      </c>
      <c r="G625" t="str">
        <f>IF(Table1[[#This Row],[BMI]]&lt;18.5,"Underweight",IF(Table1[[#This Row],[BMI]]&lt;25,"Normal",IF(Table1[[#This Row],[BMI]]&lt;30,"Overweight","Obese")))</f>
        <v>Obese</v>
      </c>
      <c r="H625">
        <v>35.9</v>
      </c>
      <c r="I625">
        <v>0.58599999999999997</v>
      </c>
      <c r="J625" t="str">
        <f>IF(Table1[[#This Row],[Age]]&lt;30,"Young (&lt;30)",IF(Table1[[#This Row],[Age]]&lt;=50,"Middle Age (30-50)","Older (&gt;50)"))</f>
        <v>Older (&gt;50)</v>
      </c>
      <c r="K625">
        <v>51</v>
      </c>
      <c r="L625">
        <v>1</v>
      </c>
    </row>
    <row r="626" spans="1:12" x14ac:dyDescent="0.3">
      <c r="A626">
        <v>7</v>
      </c>
      <c r="B626" t="str">
        <f>IF(Table1[[#This Row],[Glucose]]&lt;100,"Normal",IF(Table1[[#This Row],[Glucose]]&lt;126,"Prediabetes","High Risk"))</f>
        <v>Prediabetes</v>
      </c>
      <c r="C626">
        <v>106</v>
      </c>
      <c r="D626">
        <v>60</v>
      </c>
      <c r="E626">
        <v>24</v>
      </c>
      <c r="F626">
        <v>0</v>
      </c>
      <c r="G626" t="str">
        <f>IF(Table1[[#This Row],[BMI]]&lt;18.5,"Underweight",IF(Table1[[#This Row],[BMI]]&lt;25,"Normal",IF(Table1[[#This Row],[BMI]]&lt;30,"Overweight","Obese")))</f>
        <v>Overweight</v>
      </c>
      <c r="H626">
        <v>26.5</v>
      </c>
      <c r="I626">
        <v>0.29599999999999999</v>
      </c>
      <c r="J626" t="str">
        <f>IF(Table1[[#This Row],[Age]]&lt;30,"Young (&lt;30)",IF(Table1[[#This Row],[Age]]&lt;=50,"Middle Age (30-50)","Older (&gt;50)"))</f>
        <v>Young (&lt;30)</v>
      </c>
      <c r="K626">
        <v>29</v>
      </c>
      <c r="L626">
        <v>1</v>
      </c>
    </row>
    <row r="627" spans="1:12" x14ac:dyDescent="0.3">
      <c r="A627">
        <v>7</v>
      </c>
      <c r="B627" t="str">
        <f>IF(Table1[[#This Row],[Glucose]]&lt;100,"Normal",IF(Table1[[#This Row],[Glucose]]&lt;126,"Prediabetes","High Risk"))</f>
        <v>High Risk</v>
      </c>
      <c r="C627">
        <v>133</v>
      </c>
      <c r="D627">
        <v>88</v>
      </c>
      <c r="E627">
        <v>15</v>
      </c>
      <c r="F627">
        <v>155</v>
      </c>
      <c r="G627" t="str">
        <f>IF(Table1[[#This Row],[BMI]]&lt;18.5,"Underweight",IF(Table1[[#This Row],[BMI]]&lt;25,"Normal",IF(Table1[[#This Row],[BMI]]&lt;30,"Overweight","Obese")))</f>
        <v>Obese</v>
      </c>
      <c r="H627">
        <v>32.4</v>
      </c>
      <c r="I627">
        <v>0.26200000000000001</v>
      </c>
      <c r="J627" t="str">
        <f>IF(Table1[[#This Row],[Age]]&lt;30,"Young (&lt;30)",IF(Table1[[#This Row],[Age]]&lt;=50,"Middle Age (30-50)","Older (&gt;50)"))</f>
        <v>Middle Age (30-50)</v>
      </c>
      <c r="K627">
        <v>37</v>
      </c>
      <c r="L627">
        <v>0</v>
      </c>
    </row>
    <row r="628" spans="1:12" x14ac:dyDescent="0.3">
      <c r="A628">
        <v>7</v>
      </c>
      <c r="B628" t="str">
        <f>IF(Table1[[#This Row],[Glucose]]&lt;100,"Normal",IF(Table1[[#This Row],[Glucose]]&lt;126,"Prediabetes","High Risk"))</f>
        <v>High Risk</v>
      </c>
      <c r="C628">
        <v>161</v>
      </c>
      <c r="D628">
        <v>86</v>
      </c>
      <c r="E628">
        <v>0</v>
      </c>
      <c r="F628">
        <v>0</v>
      </c>
      <c r="G628" t="str">
        <f>IF(Table1[[#This Row],[BMI]]&lt;18.5,"Underweight",IF(Table1[[#This Row],[BMI]]&lt;25,"Normal",IF(Table1[[#This Row],[BMI]]&lt;30,"Overweight","Obese")))</f>
        <v>Obese</v>
      </c>
      <c r="H628">
        <v>30.4</v>
      </c>
      <c r="I628">
        <v>0.16500000000000001</v>
      </c>
      <c r="J628" t="str">
        <f>IF(Table1[[#This Row],[Age]]&lt;30,"Young (&lt;30)",IF(Table1[[#This Row],[Age]]&lt;=50,"Middle Age (30-50)","Older (&gt;50)"))</f>
        <v>Middle Age (30-50)</v>
      </c>
      <c r="K628">
        <v>47</v>
      </c>
      <c r="L628">
        <v>1</v>
      </c>
    </row>
    <row r="629" spans="1:12" x14ac:dyDescent="0.3">
      <c r="A629">
        <v>7</v>
      </c>
      <c r="B629" t="str">
        <f>IF(Table1[[#This Row],[Glucose]]&lt;100,"Normal",IF(Table1[[#This Row],[Glucose]]&lt;126,"Prediabetes","High Risk"))</f>
        <v>High Risk</v>
      </c>
      <c r="C629">
        <v>136</v>
      </c>
      <c r="D629">
        <v>74</v>
      </c>
      <c r="E629">
        <v>26</v>
      </c>
      <c r="F629">
        <v>135</v>
      </c>
      <c r="G629" t="str">
        <f>IF(Table1[[#This Row],[BMI]]&lt;18.5,"Underweight",IF(Table1[[#This Row],[BMI]]&lt;25,"Normal",IF(Table1[[#This Row],[BMI]]&lt;30,"Overweight","Obese")))</f>
        <v>Overweight</v>
      </c>
      <c r="H629">
        <v>26</v>
      </c>
      <c r="I629">
        <v>0.64700000000000002</v>
      </c>
      <c r="J629" t="str">
        <f>IF(Table1[[#This Row],[Age]]&lt;30,"Young (&lt;30)",IF(Table1[[#This Row],[Age]]&lt;=50,"Middle Age (30-50)","Older (&gt;50)"))</f>
        <v>Older (&gt;50)</v>
      </c>
      <c r="K629">
        <v>51</v>
      </c>
      <c r="L629">
        <v>0</v>
      </c>
    </row>
    <row r="630" spans="1:12" x14ac:dyDescent="0.3">
      <c r="A630">
        <v>7</v>
      </c>
      <c r="B630" t="str">
        <f>IF(Table1[[#This Row],[Glucose]]&lt;100,"Normal",IF(Table1[[#This Row],[Glucose]]&lt;126,"Prediabetes","High Risk"))</f>
        <v>Prediabetes</v>
      </c>
      <c r="C630">
        <v>109</v>
      </c>
      <c r="D630">
        <v>80</v>
      </c>
      <c r="E630">
        <v>31</v>
      </c>
      <c r="F630">
        <v>0</v>
      </c>
      <c r="G630" t="str">
        <f>IF(Table1[[#This Row],[BMI]]&lt;18.5,"Underweight",IF(Table1[[#This Row],[BMI]]&lt;25,"Normal",IF(Table1[[#This Row],[BMI]]&lt;30,"Overweight","Obese")))</f>
        <v>Obese</v>
      </c>
      <c r="H630">
        <v>35.9</v>
      </c>
      <c r="I630">
        <v>1.127</v>
      </c>
      <c r="J630" t="str">
        <f>IF(Table1[[#This Row],[Age]]&lt;30,"Young (&lt;30)",IF(Table1[[#This Row],[Age]]&lt;=50,"Middle Age (30-50)","Older (&gt;50)"))</f>
        <v>Middle Age (30-50)</v>
      </c>
      <c r="K630">
        <v>43</v>
      </c>
      <c r="L630">
        <v>1</v>
      </c>
    </row>
    <row r="631" spans="1:12" x14ac:dyDescent="0.3">
      <c r="A631">
        <v>7</v>
      </c>
      <c r="B631" t="str">
        <f>IF(Table1[[#This Row],[Glucose]]&lt;100,"Normal",IF(Table1[[#This Row],[Glucose]]&lt;126,"Prediabetes","High Risk"))</f>
        <v>High Risk</v>
      </c>
      <c r="C631">
        <v>178</v>
      </c>
      <c r="D631">
        <v>84</v>
      </c>
      <c r="E631">
        <v>0</v>
      </c>
      <c r="F631">
        <v>0</v>
      </c>
      <c r="G631" t="str">
        <f>IF(Table1[[#This Row],[BMI]]&lt;18.5,"Underweight",IF(Table1[[#This Row],[BMI]]&lt;25,"Normal",IF(Table1[[#This Row],[BMI]]&lt;30,"Overweight","Obese")))</f>
        <v>Obese</v>
      </c>
      <c r="H631">
        <v>39.9</v>
      </c>
      <c r="I631">
        <v>0.33100000000000002</v>
      </c>
      <c r="J631" t="str">
        <f>IF(Table1[[#This Row],[Age]]&lt;30,"Young (&lt;30)",IF(Table1[[#This Row],[Age]]&lt;=50,"Middle Age (30-50)","Older (&gt;50)"))</f>
        <v>Middle Age (30-50)</v>
      </c>
      <c r="K631">
        <v>41</v>
      </c>
      <c r="L631">
        <v>1</v>
      </c>
    </row>
    <row r="632" spans="1:12" x14ac:dyDescent="0.3">
      <c r="A632">
        <v>7</v>
      </c>
      <c r="B632" t="str">
        <f>IF(Table1[[#This Row],[Glucose]]&lt;100,"Normal",IF(Table1[[#This Row],[Glucose]]&lt;126,"Prediabetes","High Risk"))</f>
        <v>High Risk</v>
      </c>
      <c r="C632">
        <v>136</v>
      </c>
      <c r="D632">
        <v>90</v>
      </c>
      <c r="E632">
        <v>0</v>
      </c>
      <c r="F632">
        <v>0</v>
      </c>
      <c r="G632" t="str">
        <f>IF(Table1[[#This Row],[BMI]]&lt;18.5,"Underweight",IF(Table1[[#This Row],[BMI]]&lt;25,"Normal",IF(Table1[[#This Row],[BMI]]&lt;30,"Overweight","Obese")))</f>
        <v>Overweight</v>
      </c>
      <c r="H632">
        <v>29.9</v>
      </c>
      <c r="I632">
        <v>0.21</v>
      </c>
      <c r="J632" t="str">
        <f>IF(Table1[[#This Row],[Age]]&lt;30,"Young (&lt;30)",IF(Table1[[#This Row],[Age]]&lt;=50,"Middle Age (30-50)","Older (&gt;50)"))</f>
        <v>Middle Age (30-50)</v>
      </c>
      <c r="K632">
        <v>50</v>
      </c>
      <c r="L632">
        <v>0</v>
      </c>
    </row>
    <row r="633" spans="1:12" x14ac:dyDescent="0.3">
      <c r="A633">
        <v>7</v>
      </c>
      <c r="B633" t="str">
        <f>IF(Table1[[#This Row],[Glucose]]&lt;100,"Normal",IF(Table1[[#This Row],[Glucose]]&lt;126,"Prediabetes","High Risk"))</f>
        <v>Prediabetes</v>
      </c>
      <c r="C633">
        <v>114</v>
      </c>
      <c r="D633">
        <v>76</v>
      </c>
      <c r="E633">
        <v>17</v>
      </c>
      <c r="F633">
        <v>110</v>
      </c>
      <c r="G633" t="str">
        <f>IF(Table1[[#This Row],[BMI]]&lt;18.5,"Underweight",IF(Table1[[#This Row],[BMI]]&lt;25,"Normal",IF(Table1[[#This Row],[BMI]]&lt;30,"Overweight","Obese")))</f>
        <v>Normal</v>
      </c>
      <c r="H633">
        <v>23.8</v>
      </c>
      <c r="I633">
        <v>0.46600000000000003</v>
      </c>
      <c r="J633" t="str">
        <f>IF(Table1[[#This Row],[Age]]&lt;30,"Young (&lt;30)",IF(Table1[[#This Row],[Age]]&lt;=50,"Middle Age (30-50)","Older (&gt;50)"))</f>
        <v>Middle Age (30-50)</v>
      </c>
      <c r="K633">
        <v>31</v>
      </c>
      <c r="L633">
        <v>0</v>
      </c>
    </row>
    <row r="634" spans="1:12" x14ac:dyDescent="0.3">
      <c r="A634">
        <v>7</v>
      </c>
      <c r="B634" t="str">
        <f>IF(Table1[[#This Row],[Glucose]]&lt;100,"Normal",IF(Table1[[#This Row],[Glucose]]&lt;126,"Prediabetes","High Risk"))</f>
        <v>High Risk</v>
      </c>
      <c r="C634">
        <v>195</v>
      </c>
      <c r="D634">
        <v>70</v>
      </c>
      <c r="E634">
        <v>33</v>
      </c>
      <c r="F634">
        <v>145</v>
      </c>
      <c r="G634" t="str">
        <f>IF(Table1[[#This Row],[BMI]]&lt;18.5,"Underweight",IF(Table1[[#This Row],[BMI]]&lt;25,"Normal",IF(Table1[[#This Row],[BMI]]&lt;30,"Overweight","Obese")))</f>
        <v>Overweight</v>
      </c>
      <c r="H634">
        <v>25.1</v>
      </c>
      <c r="I634">
        <v>0.16300000000000001</v>
      </c>
      <c r="J634" t="str">
        <f>IF(Table1[[#This Row],[Age]]&lt;30,"Young (&lt;30)",IF(Table1[[#This Row],[Age]]&lt;=50,"Middle Age (30-50)","Older (&gt;50)"))</f>
        <v>Older (&gt;50)</v>
      </c>
      <c r="K634">
        <v>55</v>
      </c>
      <c r="L634">
        <v>1</v>
      </c>
    </row>
    <row r="635" spans="1:12" x14ac:dyDescent="0.3">
      <c r="A635">
        <v>7</v>
      </c>
      <c r="B635" t="str">
        <f>IF(Table1[[#This Row],[Glucose]]&lt;100,"Normal",IF(Table1[[#This Row],[Glucose]]&lt;126,"Prediabetes","High Risk"))</f>
        <v>Normal</v>
      </c>
      <c r="C635">
        <v>94</v>
      </c>
      <c r="D635">
        <v>64</v>
      </c>
      <c r="E635">
        <v>25</v>
      </c>
      <c r="F635">
        <v>79</v>
      </c>
      <c r="G635" t="str">
        <f>IF(Table1[[#This Row],[BMI]]&lt;18.5,"Underweight",IF(Table1[[#This Row],[BMI]]&lt;25,"Normal",IF(Table1[[#This Row],[BMI]]&lt;30,"Overweight","Obese")))</f>
        <v>Obese</v>
      </c>
      <c r="H635">
        <v>33.299999999999997</v>
      </c>
      <c r="I635">
        <v>0.73799999999999999</v>
      </c>
      <c r="J635" t="str">
        <f>IF(Table1[[#This Row],[Age]]&lt;30,"Young (&lt;30)",IF(Table1[[#This Row],[Age]]&lt;=50,"Middle Age (30-50)","Older (&gt;50)"))</f>
        <v>Middle Age (30-50)</v>
      </c>
      <c r="K635">
        <v>41</v>
      </c>
      <c r="L635">
        <v>0</v>
      </c>
    </row>
    <row r="636" spans="1:12" x14ac:dyDescent="0.3">
      <c r="A636">
        <v>7</v>
      </c>
      <c r="B636" t="str">
        <f>IF(Table1[[#This Row],[Glucose]]&lt;100,"Normal",IF(Table1[[#This Row],[Glucose]]&lt;126,"Prediabetes","High Risk"))</f>
        <v>Prediabetes</v>
      </c>
      <c r="C636">
        <v>125</v>
      </c>
      <c r="D636">
        <v>86</v>
      </c>
      <c r="E636">
        <v>0</v>
      </c>
      <c r="F636">
        <v>0</v>
      </c>
      <c r="G636" t="str">
        <f>IF(Table1[[#This Row],[BMI]]&lt;18.5,"Underweight",IF(Table1[[#This Row],[BMI]]&lt;25,"Normal",IF(Table1[[#This Row],[BMI]]&lt;30,"Overweight","Obese")))</f>
        <v>Obese</v>
      </c>
      <c r="H636">
        <v>37.6</v>
      </c>
      <c r="I636">
        <v>0.30399999999999999</v>
      </c>
      <c r="J636" t="str">
        <f>IF(Table1[[#This Row],[Age]]&lt;30,"Young (&lt;30)",IF(Table1[[#This Row],[Age]]&lt;=50,"Middle Age (30-50)","Older (&gt;50)"))</f>
        <v>Older (&gt;50)</v>
      </c>
      <c r="K636">
        <v>51</v>
      </c>
      <c r="L636">
        <v>0</v>
      </c>
    </row>
    <row r="637" spans="1:12" x14ac:dyDescent="0.3">
      <c r="A637">
        <v>7</v>
      </c>
      <c r="B637" t="str">
        <f>IF(Table1[[#This Row],[Glucose]]&lt;100,"Normal",IF(Table1[[#This Row],[Glucose]]&lt;126,"Prediabetes","High Risk"))</f>
        <v>Prediabetes</v>
      </c>
      <c r="C637">
        <v>124</v>
      </c>
      <c r="D637">
        <v>70</v>
      </c>
      <c r="E637">
        <v>33</v>
      </c>
      <c r="F637">
        <v>215</v>
      </c>
      <c r="G637" t="str">
        <f>IF(Table1[[#This Row],[BMI]]&lt;18.5,"Underweight",IF(Table1[[#This Row],[BMI]]&lt;25,"Normal",IF(Table1[[#This Row],[BMI]]&lt;30,"Overweight","Obese")))</f>
        <v>Overweight</v>
      </c>
      <c r="H637">
        <v>25.5</v>
      </c>
      <c r="I637">
        <v>0.161</v>
      </c>
      <c r="J637" t="str">
        <f>IF(Table1[[#This Row],[Age]]&lt;30,"Young (&lt;30)",IF(Table1[[#This Row],[Age]]&lt;=50,"Middle Age (30-50)","Older (&gt;50)"))</f>
        <v>Middle Age (30-50)</v>
      </c>
      <c r="K637">
        <v>37</v>
      </c>
      <c r="L637">
        <v>0</v>
      </c>
    </row>
    <row r="638" spans="1:12" x14ac:dyDescent="0.3">
      <c r="A638">
        <v>7</v>
      </c>
      <c r="B638" t="str">
        <f>IF(Table1[[#This Row],[Glucose]]&lt;100,"Normal",IF(Table1[[#This Row],[Glucose]]&lt;126,"Prediabetes","High Risk"))</f>
        <v>High Risk</v>
      </c>
      <c r="C638">
        <v>150</v>
      </c>
      <c r="D638">
        <v>78</v>
      </c>
      <c r="E638">
        <v>29</v>
      </c>
      <c r="F638">
        <v>126</v>
      </c>
      <c r="G638" t="str">
        <f>IF(Table1[[#This Row],[BMI]]&lt;18.5,"Underweight",IF(Table1[[#This Row],[BMI]]&lt;25,"Normal",IF(Table1[[#This Row],[BMI]]&lt;30,"Overweight","Obese")))</f>
        <v>Obese</v>
      </c>
      <c r="H638">
        <v>35.200000000000003</v>
      </c>
      <c r="I638">
        <v>0.69199999999999995</v>
      </c>
      <c r="J638" t="str">
        <f>IF(Table1[[#This Row],[Age]]&lt;30,"Young (&lt;30)",IF(Table1[[#This Row],[Age]]&lt;=50,"Middle Age (30-50)","Older (&gt;50)"))</f>
        <v>Older (&gt;50)</v>
      </c>
      <c r="K638">
        <v>54</v>
      </c>
      <c r="L638">
        <v>1</v>
      </c>
    </row>
    <row r="639" spans="1:12" x14ac:dyDescent="0.3">
      <c r="A639">
        <v>7</v>
      </c>
      <c r="B639" t="str">
        <f>IF(Table1[[#This Row],[Glucose]]&lt;100,"Normal",IF(Table1[[#This Row],[Glucose]]&lt;126,"Prediabetes","High Risk"))</f>
        <v>High Risk</v>
      </c>
      <c r="C639">
        <v>168</v>
      </c>
      <c r="D639">
        <v>88</v>
      </c>
      <c r="E639">
        <v>42</v>
      </c>
      <c r="F639">
        <v>321</v>
      </c>
      <c r="G639" t="str">
        <f>IF(Table1[[#This Row],[BMI]]&lt;18.5,"Underweight",IF(Table1[[#This Row],[BMI]]&lt;25,"Normal",IF(Table1[[#This Row],[BMI]]&lt;30,"Overweight","Obese")))</f>
        <v>Obese</v>
      </c>
      <c r="H639">
        <v>38.200000000000003</v>
      </c>
      <c r="I639">
        <v>0.78700000000000003</v>
      </c>
      <c r="J639" t="str">
        <f>IF(Table1[[#This Row],[Age]]&lt;30,"Young (&lt;30)",IF(Table1[[#This Row],[Age]]&lt;=50,"Middle Age (30-50)","Older (&gt;50)"))</f>
        <v>Middle Age (30-50)</v>
      </c>
      <c r="K639">
        <v>40</v>
      </c>
      <c r="L639">
        <v>1</v>
      </c>
    </row>
    <row r="640" spans="1:12" x14ac:dyDescent="0.3">
      <c r="A640">
        <v>7</v>
      </c>
      <c r="B640" t="str">
        <f>IF(Table1[[#This Row],[Glucose]]&lt;100,"Normal",IF(Table1[[#This Row],[Glucose]]&lt;126,"Prediabetes","High Risk"))</f>
        <v>Prediabetes</v>
      </c>
      <c r="C640">
        <v>114</v>
      </c>
      <c r="D640">
        <v>64</v>
      </c>
      <c r="E640">
        <v>0</v>
      </c>
      <c r="F640">
        <v>0</v>
      </c>
      <c r="G640" t="str">
        <f>IF(Table1[[#This Row],[BMI]]&lt;18.5,"Underweight",IF(Table1[[#This Row],[BMI]]&lt;25,"Normal",IF(Table1[[#This Row],[BMI]]&lt;30,"Overweight","Obese")))</f>
        <v>Overweight</v>
      </c>
      <c r="H640">
        <v>27.4</v>
      </c>
      <c r="I640">
        <v>0.73199999999999998</v>
      </c>
      <c r="J640" t="str">
        <f>IF(Table1[[#This Row],[Age]]&lt;30,"Young (&lt;30)",IF(Table1[[#This Row],[Age]]&lt;=50,"Middle Age (30-50)","Older (&gt;50)"))</f>
        <v>Middle Age (30-50)</v>
      </c>
      <c r="K640">
        <v>34</v>
      </c>
      <c r="L640">
        <v>1</v>
      </c>
    </row>
    <row r="641" spans="1:12" x14ac:dyDescent="0.3">
      <c r="A641">
        <v>7</v>
      </c>
      <c r="B641" t="str">
        <f>IF(Table1[[#This Row],[Glucose]]&lt;100,"Normal",IF(Table1[[#This Row],[Glucose]]&lt;126,"Prediabetes","High Risk"))</f>
        <v>Normal</v>
      </c>
      <c r="C641">
        <v>97</v>
      </c>
      <c r="D641">
        <v>76</v>
      </c>
      <c r="E641">
        <v>32</v>
      </c>
      <c r="F641">
        <v>91</v>
      </c>
      <c r="G641" t="str">
        <f>IF(Table1[[#This Row],[BMI]]&lt;18.5,"Underweight",IF(Table1[[#This Row],[BMI]]&lt;25,"Normal",IF(Table1[[#This Row],[BMI]]&lt;30,"Overweight","Obese")))</f>
        <v>Obese</v>
      </c>
      <c r="H641">
        <v>40.9</v>
      </c>
      <c r="I641">
        <v>0.871</v>
      </c>
      <c r="J641" t="str">
        <f>IF(Table1[[#This Row],[Age]]&lt;30,"Young (&lt;30)",IF(Table1[[#This Row],[Age]]&lt;=50,"Middle Age (30-50)","Older (&gt;50)"))</f>
        <v>Middle Age (30-50)</v>
      </c>
      <c r="K641">
        <v>32</v>
      </c>
      <c r="L641">
        <v>1</v>
      </c>
    </row>
    <row r="642" spans="1:12" x14ac:dyDescent="0.3">
      <c r="A642">
        <v>7</v>
      </c>
      <c r="B642" t="str">
        <f>IF(Table1[[#This Row],[Glucose]]&lt;100,"Normal",IF(Table1[[#This Row],[Glucose]]&lt;126,"Prediabetes","High Risk"))</f>
        <v>High Risk</v>
      </c>
      <c r="C642">
        <v>129</v>
      </c>
      <c r="D642">
        <v>68</v>
      </c>
      <c r="E642">
        <v>49</v>
      </c>
      <c r="F642">
        <v>125</v>
      </c>
      <c r="G642" t="str">
        <f>IF(Table1[[#This Row],[BMI]]&lt;18.5,"Underweight",IF(Table1[[#This Row],[BMI]]&lt;25,"Normal",IF(Table1[[#This Row],[BMI]]&lt;30,"Overweight","Obese")))</f>
        <v>Obese</v>
      </c>
      <c r="H642">
        <v>38.5</v>
      </c>
      <c r="I642">
        <v>0.439</v>
      </c>
      <c r="J642" t="str">
        <f>IF(Table1[[#This Row],[Age]]&lt;30,"Young (&lt;30)",IF(Table1[[#This Row],[Age]]&lt;=50,"Middle Age (30-50)","Older (&gt;50)"))</f>
        <v>Middle Age (30-50)</v>
      </c>
      <c r="K642">
        <v>43</v>
      </c>
      <c r="L642">
        <v>1</v>
      </c>
    </row>
    <row r="643" spans="1:12" x14ac:dyDescent="0.3">
      <c r="A643">
        <v>7</v>
      </c>
      <c r="B643" t="str">
        <f>IF(Table1[[#This Row],[Glucose]]&lt;100,"Normal",IF(Table1[[#This Row],[Glucose]]&lt;126,"Prediabetes","High Risk"))</f>
        <v>High Risk</v>
      </c>
      <c r="C643">
        <v>142</v>
      </c>
      <c r="D643">
        <v>90</v>
      </c>
      <c r="E643">
        <v>24</v>
      </c>
      <c r="F643">
        <v>480</v>
      </c>
      <c r="G643" t="str">
        <f>IF(Table1[[#This Row],[BMI]]&lt;18.5,"Underweight",IF(Table1[[#This Row],[BMI]]&lt;25,"Normal",IF(Table1[[#This Row],[BMI]]&lt;30,"Overweight","Obese")))</f>
        <v>Obese</v>
      </c>
      <c r="H643">
        <v>30.4</v>
      </c>
      <c r="I643">
        <v>0.128</v>
      </c>
      <c r="J643" t="str">
        <f>IF(Table1[[#This Row],[Age]]&lt;30,"Young (&lt;30)",IF(Table1[[#This Row],[Age]]&lt;=50,"Middle Age (30-50)","Older (&gt;50)"))</f>
        <v>Middle Age (30-50)</v>
      </c>
      <c r="K643">
        <v>43</v>
      </c>
      <c r="L643">
        <v>1</v>
      </c>
    </row>
    <row r="644" spans="1:12" x14ac:dyDescent="0.3">
      <c r="A644">
        <v>7</v>
      </c>
      <c r="B644" t="str">
        <f>IF(Table1[[#This Row],[Glucose]]&lt;100,"Normal",IF(Table1[[#This Row],[Glucose]]&lt;126,"Prediabetes","High Risk"))</f>
        <v>High Risk</v>
      </c>
      <c r="C644">
        <v>187</v>
      </c>
      <c r="D644">
        <v>50</v>
      </c>
      <c r="E644">
        <v>33</v>
      </c>
      <c r="F644">
        <v>392</v>
      </c>
      <c r="G644" t="str">
        <f>IF(Table1[[#This Row],[BMI]]&lt;18.5,"Underweight",IF(Table1[[#This Row],[BMI]]&lt;25,"Normal",IF(Table1[[#This Row],[BMI]]&lt;30,"Overweight","Obese")))</f>
        <v>Obese</v>
      </c>
      <c r="H644">
        <v>33.9</v>
      </c>
      <c r="I644">
        <v>0.82599999999999996</v>
      </c>
      <c r="J644" t="str">
        <f>IF(Table1[[#This Row],[Age]]&lt;30,"Young (&lt;30)",IF(Table1[[#This Row],[Age]]&lt;=50,"Middle Age (30-50)","Older (&gt;50)"))</f>
        <v>Middle Age (30-50)</v>
      </c>
      <c r="K644">
        <v>34</v>
      </c>
      <c r="L644">
        <v>1</v>
      </c>
    </row>
    <row r="645" spans="1:12" x14ac:dyDescent="0.3">
      <c r="A645">
        <v>7</v>
      </c>
      <c r="B645" t="str">
        <f>IF(Table1[[#This Row],[Glucose]]&lt;100,"Normal",IF(Table1[[#This Row],[Glucose]]&lt;126,"Prediabetes","High Risk"))</f>
        <v>High Risk</v>
      </c>
      <c r="C645">
        <v>137</v>
      </c>
      <c r="D645">
        <v>90</v>
      </c>
      <c r="E645">
        <v>41</v>
      </c>
      <c r="F645">
        <v>0</v>
      </c>
      <c r="G645" t="str">
        <f>IF(Table1[[#This Row],[BMI]]&lt;18.5,"Underweight",IF(Table1[[#This Row],[BMI]]&lt;25,"Normal",IF(Table1[[#This Row],[BMI]]&lt;30,"Overweight","Obese")))</f>
        <v>Obese</v>
      </c>
      <c r="H645">
        <v>32</v>
      </c>
      <c r="I645">
        <v>0.39100000000000001</v>
      </c>
      <c r="J645" t="str">
        <f>IF(Table1[[#This Row],[Age]]&lt;30,"Young (&lt;30)",IF(Table1[[#This Row],[Age]]&lt;=50,"Middle Age (30-50)","Older (&gt;50)"))</f>
        <v>Middle Age (30-50)</v>
      </c>
      <c r="K645">
        <v>39</v>
      </c>
      <c r="L645">
        <v>0</v>
      </c>
    </row>
    <row r="646" spans="1:12" x14ac:dyDescent="0.3">
      <c r="A646">
        <v>8</v>
      </c>
      <c r="B646" t="str">
        <f>IF(Table1[[#This Row],[Glucose]]&lt;100,"Normal",IF(Table1[[#This Row],[Glucose]]&lt;126,"Prediabetes","High Risk"))</f>
        <v>High Risk</v>
      </c>
      <c r="C646">
        <v>183</v>
      </c>
      <c r="D646">
        <v>64</v>
      </c>
      <c r="E646">
        <v>0</v>
      </c>
      <c r="F646">
        <v>0</v>
      </c>
      <c r="G646" t="str">
        <f>IF(Table1[[#This Row],[BMI]]&lt;18.5,"Underweight",IF(Table1[[#This Row],[BMI]]&lt;25,"Normal",IF(Table1[[#This Row],[BMI]]&lt;30,"Overweight","Obese")))</f>
        <v>Normal</v>
      </c>
      <c r="H646">
        <v>23.3</v>
      </c>
      <c r="I646">
        <v>0.67200000000000004</v>
      </c>
      <c r="J646" t="str">
        <f>IF(Table1[[#This Row],[Age]]&lt;30,"Young (&lt;30)",IF(Table1[[#This Row],[Age]]&lt;=50,"Middle Age (30-50)","Older (&gt;50)"))</f>
        <v>Middle Age (30-50)</v>
      </c>
      <c r="K646">
        <v>32</v>
      </c>
      <c r="L646">
        <v>1</v>
      </c>
    </row>
    <row r="647" spans="1:12" x14ac:dyDescent="0.3">
      <c r="A647">
        <v>8</v>
      </c>
      <c r="B647" t="str">
        <f>IF(Table1[[#This Row],[Glucose]]&lt;100,"Normal",IF(Table1[[#This Row],[Glucose]]&lt;126,"Prediabetes","High Risk"))</f>
        <v>Prediabetes</v>
      </c>
      <c r="C647">
        <v>125</v>
      </c>
      <c r="D647">
        <v>96</v>
      </c>
      <c r="E647">
        <v>0</v>
      </c>
      <c r="F647">
        <v>0</v>
      </c>
      <c r="G647" t="str">
        <f>IF(Table1[[#This Row],[BMI]]&lt;18.5,"Underweight",IF(Table1[[#This Row],[BMI]]&lt;25,"Normal",IF(Table1[[#This Row],[BMI]]&lt;30,"Overweight","Obese")))</f>
        <v>Underweight</v>
      </c>
      <c r="H647">
        <v>0</v>
      </c>
      <c r="I647">
        <v>0.23200000000000001</v>
      </c>
      <c r="J647" t="str">
        <f>IF(Table1[[#This Row],[Age]]&lt;30,"Young (&lt;30)",IF(Table1[[#This Row],[Age]]&lt;=50,"Middle Age (30-50)","Older (&gt;50)"))</f>
        <v>Older (&gt;50)</v>
      </c>
      <c r="K647">
        <v>54</v>
      </c>
      <c r="L647">
        <v>1</v>
      </c>
    </row>
    <row r="648" spans="1:12" x14ac:dyDescent="0.3">
      <c r="A648">
        <v>8</v>
      </c>
      <c r="B648" t="str">
        <f>IF(Table1[[#This Row],[Glucose]]&lt;100,"Normal",IF(Table1[[#This Row],[Glucose]]&lt;126,"Prediabetes","High Risk"))</f>
        <v>Normal</v>
      </c>
      <c r="C648">
        <v>99</v>
      </c>
      <c r="D648">
        <v>84</v>
      </c>
      <c r="E648">
        <v>0</v>
      </c>
      <c r="F648">
        <v>0</v>
      </c>
      <c r="G648" t="str">
        <f>IF(Table1[[#This Row],[BMI]]&lt;18.5,"Underweight",IF(Table1[[#This Row],[BMI]]&lt;25,"Normal",IF(Table1[[#This Row],[BMI]]&lt;30,"Overweight","Obese")))</f>
        <v>Obese</v>
      </c>
      <c r="H648">
        <v>35.4</v>
      </c>
      <c r="I648">
        <v>0.38800000000000001</v>
      </c>
      <c r="J648" t="str">
        <f>IF(Table1[[#This Row],[Age]]&lt;30,"Young (&lt;30)",IF(Table1[[#This Row],[Age]]&lt;=50,"Middle Age (30-50)","Older (&gt;50)"))</f>
        <v>Middle Age (30-50)</v>
      </c>
      <c r="K648">
        <v>50</v>
      </c>
      <c r="L648">
        <v>0</v>
      </c>
    </row>
    <row r="649" spans="1:12" x14ac:dyDescent="0.3">
      <c r="A649">
        <v>8</v>
      </c>
      <c r="B649" t="str">
        <f>IF(Table1[[#This Row],[Glucose]]&lt;100,"Normal",IF(Table1[[#This Row],[Glucose]]&lt;126,"Prediabetes","High Risk"))</f>
        <v>High Risk</v>
      </c>
      <c r="C649">
        <v>176</v>
      </c>
      <c r="D649">
        <v>90</v>
      </c>
      <c r="E649">
        <v>34</v>
      </c>
      <c r="F649">
        <v>300</v>
      </c>
      <c r="G649" t="str">
        <f>IF(Table1[[#This Row],[BMI]]&lt;18.5,"Underweight",IF(Table1[[#This Row],[BMI]]&lt;25,"Normal",IF(Table1[[#This Row],[BMI]]&lt;30,"Overweight","Obese")))</f>
        <v>Obese</v>
      </c>
      <c r="H649">
        <v>33.700000000000003</v>
      </c>
      <c r="I649">
        <v>0.46700000000000003</v>
      </c>
      <c r="J649" t="str">
        <f>IF(Table1[[#This Row],[Age]]&lt;30,"Young (&lt;30)",IF(Table1[[#This Row],[Age]]&lt;=50,"Middle Age (30-50)","Older (&gt;50)"))</f>
        <v>Older (&gt;50)</v>
      </c>
      <c r="K649">
        <v>58</v>
      </c>
      <c r="L649">
        <v>1</v>
      </c>
    </row>
    <row r="650" spans="1:12" x14ac:dyDescent="0.3">
      <c r="A650">
        <v>8</v>
      </c>
      <c r="B650" t="str">
        <f>IF(Table1[[#This Row],[Glucose]]&lt;100,"Normal",IF(Table1[[#This Row],[Glucose]]&lt;126,"Prediabetes","High Risk"))</f>
        <v>High Risk</v>
      </c>
      <c r="C650">
        <v>133</v>
      </c>
      <c r="D650">
        <v>72</v>
      </c>
      <c r="E650">
        <v>0</v>
      </c>
      <c r="F650">
        <v>0</v>
      </c>
      <c r="G650" t="str">
        <f>IF(Table1[[#This Row],[BMI]]&lt;18.5,"Underweight",IF(Table1[[#This Row],[BMI]]&lt;25,"Normal",IF(Table1[[#This Row],[BMI]]&lt;30,"Overweight","Obese")))</f>
        <v>Obese</v>
      </c>
      <c r="H650">
        <v>32.9</v>
      </c>
      <c r="I650">
        <v>0.27</v>
      </c>
      <c r="J650" t="str">
        <f>IF(Table1[[#This Row],[Age]]&lt;30,"Young (&lt;30)",IF(Table1[[#This Row],[Age]]&lt;=50,"Middle Age (30-50)","Older (&gt;50)"))</f>
        <v>Middle Age (30-50)</v>
      </c>
      <c r="K650">
        <v>39</v>
      </c>
      <c r="L650">
        <v>1</v>
      </c>
    </row>
    <row r="651" spans="1:12" x14ac:dyDescent="0.3">
      <c r="A651">
        <v>8</v>
      </c>
      <c r="B651" t="str">
        <f>IF(Table1[[#This Row],[Glucose]]&lt;100,"Normal",IF(Table1[[#This Row],[Glucose]]&lt;126,"Prediabetes","High Risk"))</f>
        <v>High Risk</v>
      </c>
      <c r="C651">
        <v>155</v>
      </c>
      <c r="D651">
        <v>62</v>
      </c>
      <c r="E651">
        <v>26</v>
      </c>
      <c r="F651">
        <v>495</v>
      </c>
      <c r="G651" t="str">
        <f>IF(Table1[[#This Row],[BMI]]&lt;18.5,"Underweight",IF(Table1[[#This Row],[BMI]]&lt;25,"Normal",IF(Table1[[#This Row],[BMI]]&lt;30,"Overweight","Obese")))</f>
        <v>Obese</v>
      </c>
      <c r="H651">
        <v>34</v>
      </c>
      <c r="I651">
        <v>0.54300000000000004</v>
      </c>
      <c r="J651" t="str">
        <f>IF(Table1[[#This Row],[Age]]&lt;30,"Young (&lt;30)",IF(Table1[[#This Row],[Age]]&lt;=50,"Middle Age (30-50)","Older (&gt;50)"))</f>
        <v>Middle Age (30-50)</v>
      </c>
      <c r="K651">
        <v>46</v>
      </c>
      <c r="L651">
        <v>1</v>
      </c>
    </row>
    <row r="652" spans="1:12" x14ac:dyDescent="0.3">
      <c r="A652">
        <v>8</v>
      </c>
      <c r="B652" t="str">
        <f>IF(Table1[[#This Row],[Glucose]]&lt;100,"Normal",IF(Table1[[#This Row],[Glucose]]&lt;126,"Prediabetes","High Risk"))</f>
        <v>Normal</v>
      </c>
      <c r="C652">
        <v>84</v>
      </c>
      <c r="D652">
        <v>74</v>
      </c>
      <c r="E652">
        <v>31</v>
      </c>
      <c r="F652">
        <v>0</v>
      </c>
      <c r="G652" t="str">
        <f>IF(Table1[[#This Row],[BMI]]&lt;18.5,"Underweight",IF(Table1[[#This Row],[BMI]]&lt;25,"Normal",IF(Table1[[#This Row],[BMI]]&lt;30,"Overweight","Obese")))</f>
        <v>Obese</v>
      </c>
      <c r="H652">
        <v>38.299999999999997</v>
      </c>
      <c r="I652">
        <v>0.45700000000000002</v>
      </c>
      <c r="J652" t="str">
        <f>IF(Table1[[#This Row],[Age]]&lt;30,"Young (&lt;30)",IF(Table1[[#This Row],[Age]]&lt;=50,"Middle Age (30-50)","Older (&gt;50)"))</f>
        <v>Middle Age (30-50)</v>
      </c>
      <c r="K652">
        <v>39</v>
      </c>
      <c r="L652">
        <v>0</v>
      </c>
    </row>
    <row r="653" spans="1:12" x14ac:dyDescent="0.3">
      <c r="A653">
        <v>8</v>
      </c>
      <c r="B653" t="str">
        <f>IF(Table1[[#This Row],[Glucose]]&lt;100,"Normal",IF(Table1[[#This Row],[Glucose]]&lt;126,"Prediabetes","High Risk"))</f>
        <v>High Risk</v>
      </c>
      <c r="C653">
        <v>188</v>
      </c>
      <c r="D653">
        <v>78</v>
      </c>
      <c r="E653">
        <v>0</v>
      </c>
      <c r="F653">
        <v>0</v>
      </c>
      <c r="G653" t="str">
        <f>IF(Table1[[#This Row],[BMI]]&lt;18.5,"Underweight",IF(Table1[[#This Row],[BMI]]&lt;25,"Normal",IF(Table1[[#This Row],[BMI]]&lt;30,"Overweight","Obese")))</f>
        <v>Obese</v>
      </c>
      <c r="H653">
        <v>47.9</v>
      </c>
      <c r="I653">
        <v>0.13700000000000001</v>
      </c>
      <c r="J653" t="str">
        <f>IF(Table1[[#This Row],[Age]]&lt;30,"Young (&lt;30)",IF(Table1[[#This Row],[Age]]&lt;=50,"Middle Age (30-50)","Older (&gt;50)"))</f>
        <v>Middle Age (30-50)</v>
      </c>
      <c r="K653">
        <v>43</v>
      </c>
      <c r="L653">
        <v>1</v>
      </c>
    </row>
    <row r="654" spans="1:12" x14ac:dyDescent="0.3">
      <c r="A654">
        <v>8</v>
      </c>
      <c r="B654" t="str">
        <f>IF(Table1[[#This Row],[Glucose]]&lt;100,"Normal",IF(Table1[[#This Row],[Glucose]]&lt;126,"Prediabetes","High Risk"))</f>
        <v>High Risk</v>
      </c>
      <c r="C654">
        <v>179</v>
      </c>
      <c r="D654">
        <v>72</v>
      </c>
      <c r="E654">
        <v>42</v>
      </c>
      <c r="F654">
        <v>130</v>
      </c>
      <c r="G654" t="str">
        <f>IF(Table1[[#This Row],[BMI]]&lt;18.5,"Underweight",IF(Table1[[#This Row],[BMI]]&lt;25,"Normal",IF(Table1[[#This Row],[BMI]]&lt;30,"Overweight","Obese")))</f>
        <v>Obese</v>
      </c>
      <c r="H654">
        <v>32.700000000000003</v>
      </c>
      <c r="I654">
        <v>0.71899999999999997</v>
      </c>
      <c r="J654" t="str">
        <f>IF(Table1[[#This Row],[Age]]&lt;30,"Young (&lt;30)",IF(Table1[[#This Row],[Age]]&lt;=50,"Middle Age (30-50)","Older (&gt;50)"))</f>
        <v>Middle Age (30-50)</v>
      </c>
      <c r="K654">
        <v>36</v>
      </c>
      <c r="L654">
        <v>1</v>
      </c>
    </row>
    <row r="655" spans="1:12" x14ac:dyDescent="0.3">
      <c r="A655">
        <v>8</v>
      </c>
      <c r="B655" t="str">
        <f>IF(Table1[[#This Row],[Glucose]]&lt;100,"Normal",IF(Table1[[#This Row],[Glucose]]&lt;126,"Prediabetes","High Risk"))</f>
        <v>High Risk</v>
      </c>
      <c r="C655">
        <v>181</v>
      </c>
      <c r="D655">
        <v>68</v>
      </c>
      <c r="E655">
        <v>36</v>
      </c>
      <c r="F655">
        <v>495</v>
      </c>
      <c r="G655" t="str">
        <f>IF(Table1[[#This Row],[BMI]]&lt;18.5,"Underweight",IF(Table1[[#This Row],[BMI]]&lt;25,"Normal",IF(Table1[[#This Row],[BMI]]&lt;30,"Overweight","Obese")))</f>
        <v>Obese</v>
      </c>
      <c r="H655">
        <v>30.1</v>
      </c>
      <c r="I655">
        <v>0.61499999999999999</v>
      </c>
      <c r="J655" t="str">
        <f>IF(Table1[[#This Row],[Age]]&lt;30,"Young (&lt;30)",IF(Table1[[#This Row],[Age]]&lt;=50,"Middle Age (30-50)","Older (&gt;50)"))</f>
        <v>Older (&gt;50)</v>
      </c>
      <c r="K655">
        <v>60</v>
      </c>
      <c r="L655">
        <v>1</v>
      </c>
    </row>
    <row r="656" spans="1:12" x14ac:dyDescent="0.3">
      <c r="A656">
        <v>8</v>
      </c>
      <c r="B656" t="str">
        <f>IF(Table1[[#This Row],[Glucose]]&lt;100,"Normal",IF(Table1[[#This Row],[Glucose]]&lt;126,"Prediabetes","High Risk"))</f>
        <v>Prediabetes</v>
      </c>
      <c r="C656">
        <v>109</v>
      </c>
      <c r="D656">
        <v>76</v>
      </c>
      <c r="E656">
        <v>39</v>
      </c>
      <c r="F656">
        <v>114</v>
      </c>
      <c r="G656" t="str">
        <f>IF(Table1[[#This Row],[BMI]]&lt;18.5,"Underweight",IF(Table1[[#This Row],[BMI]]&lt;25,"Normal",IF(Table1[[#This Row],[BMI]]&lt;30,"Overweight","Obese")))</f>
        <v>Overweight</v>
      </c>
      <c r="H656">
        <v>27.9</v>
      </c>
      <c r="I656">
        <v>0.64</v>
      </c>
      <c r="J656" t="str">
        <f>IF(Table1[[#This Row],[Age]]&lt;30,"Young (&lt;30)",IF(Table1[[#This Row],[Age]]&lt;=50,"Middle Age (30-50)","Older (&gt;50)"))</f>
        <v>Middle Age (30-50)</v>
      </c>
      <c r="K656">
        <v>31</v>
      </c>
      <c r="L656">
        <v>1</v>
      </c>
    </row>
    <row r="657" spans="1:12" x14ac:dyDescent="0.3">
      <c r="A657">
        <v>8</v>
      </c>
      <c r="B657" t="str">
        <f>IF(Table1[[#This Row],[Glucose]]&lt;100,"Normal",IF(Table1[[#This Row],[Glucose]]&lt;126,"Prediabetes","High Risk"))</f>
        <v>Normal</v>
      </c>
      <c r="C657">
        <v>85</v>
      </c>
      <c r="D657">
        <v>55</v>
      </c>
      <c r="E657">
        <v>20</v>
      </c>
      <c r="F657">
        <v>0</v>
      </c>
      <c r="G657" t="str">
        <f>IF(Table1[[#This Row],[BMI]]&lt;18.5,"Underweight",IF(Table1[[#This Row],[BMI]]&lt;25,"Normal",IF(Table1[[#This Row],[BMI]]&lt;30,"Overweight","Obese")))</f>
        <v>Normal</v>
      </c>
      <c r="H657">
        <v>24.4</v>
      </c>
      <c r="I657">
        <v>0.13600000000000001</v>
      </c>
      <c r="J657" t="str">
        <f>IF(Table1[[#This Row],[Age]]&lt;30,"Young (&lt;30)",IF(Table1[[#This Row],[Age]]&lt;=50,"Middle Age (30-50)","Older (&gt;50)"))</f>
        <v>Middle Age (30-50)</v>
      </c>
      <c r="K657">
        <v>42</v>
      </c>
      <c r="L657">
        <v>0</v>
      </c>
    </row>
    <row r="658" spans="1:12" x14ac:dyDescent="0.3">
      <c r="A658">
        <v>8</v>
      </c>
      <c r="B658" t="str">
        <f>IF(Table1[[#This Row],[Glucose]]&lt;100,"Normal",IF(Table1[[#This Row],[Glucose]]&lt;126,"Prediabetes","High Risk"))</f>
        <v>High Risk</v>
      </c>
      <c r="C658">
        <v>196</v>
      </c>
      <c r="D658">
        <v>76</v>
      </c>
      <c r="E658">
        <v>29</v>
      </c>
      <c r="F658">
        <v>280</v>
      </c>
      <c r="G658" t="str">
        <f>IF(Table1[[#This Row],[BMI]]&lt;18.5,"Underweight",IF(Table1[[#This Row],[BMI]]&lt;25,"Normal",IF(Table1[[#This Row],[BMI]]&lt;30,"Overweight","Obese")))</f>
        <v>Obese</v>
      </c>
      <c r="H658">
        <v>37.5</v>
      </c>
      <c r="I658">
        <v>0.60499999999999998</v>
      </c>
      <c r="J658" t="str">
        <f>IF(Table1[[#This Row],[Age]]&lt;30,"Young (&lt;30)",IF(Table1[[#This Row],[Age]]&lt;=50,"Middle Age (30-50)","Older (&gt;50)"))</f>
        <v>Older (&gt;50)</v>
      </c>
      <c r="K658">
        <v>57</v>
      </c>
      <c r="L658">
        <v>1</v>
      </c>
    </row>
    <row r="659" spans="1:12" x14ac:dyDescent="0.3">
      <c r="A659">
        <v>8</v>
      </c>
      <c r="B659" t="str">
        <f>IF(Table1[[#This Row],[Glucose]]&lt;100,"Normal",IF(Table1[[#This Row],[Glucose]]&lt;126,"Prediabetes","High Risk"))</f>
        <v>Prediabetes</v>
      </c>
      <c r="C659">
        <v>112</v>
      </c>
      <c r="D659">
        <v>72</v>
      </c>
      <c r="E659">
        <v>0</v>
      </c>
      <c r="F659">
        <v>0</v>
      </c>
      <c r="G659" t="str">
        <f>IF(Table1[[#This Row],[BMI]]&lt;18.5,"Underweight",IF(Table1[[#This Row],[BMI]]&lt;25,"Normal",IF(Table1[[#This Row],[BMI]]&lt;30,"Overweight","Obese")))</f>
        <v>Normal</v>
      </c>
      <c r="H659">
        <v>23.6</v>
      </c>
      <c r="I659">
        <v>0.84</v>
      </c>
      <c r="J659" t="str">
        <f>IF(Table1[[#This Row],[Age]]&lt;30,"Young (&lt;30)",IF(Table1[[#This Row],[Age]]&lt;=50,"Middle Age (30-50)","Older (&gt;50)"))</f>
        <v>Older (&gt;50)</v>
      </c>
      <c r="K659">
        <v>58</v>
      </c>
      <c r="L659">
        <v>0</v>
      </c>
    </row>
    <row r="660" spans="1:12" x14ac:dyDescent="0.3">
      <c r="A660">
        <v>8</v>
      </c>
      <c r="B660" t="str">
        <f>IF(Table1[[#This Row],[Glucose]]&lt;100,"Normal",IF(Table1[[#This Row],[Glucose]]&lt;126,"Prediabetes","High Risk"))</f>
        <v>Prediabetes</v>
      </c>
      <c r="C660">
        <v>118</v>
      </c>
      <c r="D660">
        <v>72</v>
      </c>
      <c r="E660">
        <v>19</v>
      </c>
      <c r="F660">
        <v>0</v>
      </c>
      <c r="G660" t="str">
        <f>IF(Table1[[#This Row],[BMI]]&lt;18.5,"Underweight",IF(Table1[[#This Row],[BMI]]&lt;25,"Normal",IF(Table1[[#This Row],[BMI]]&lt;30,"Overweight","Obese")))</f>
        <v>Normal</v>
      </c>
      <c r="H660">
        <v>23.1</v>
      </c>
      <c r="I660">
        <v>1.476</v>
      </c>
      <c r="J660" t="str">
        <f>IF(Table1[[#This Row],[Age]]&lt;30,"Young (&lt;30)",IF(Table1[[#This Row],[Age]]&lt;=50,"Middle Age (30-50)","Older (&gt;50)"))</f>
        <v>Middle Age (30-50)</v>
      </c>
      <c r="K660">
        <v>46</v>
      </c>
      <c r="L660">
        <v>0</v>
      </c>
    </row>
    <row r="661" spans="1:12" x14ac:dyDescent="0.3">
      <c r="A661">
        <v>8</v>
      </c>
      <c r="B661" t="str">
        <f>IF(Table1[[#This Row],[Glucose]]&lt;100,"Normal",IF(Table1[[#This Row],[Glucose]]&lt;126,"Prediabetes","High Risk"))</f>
        <v>Normal</v>
      </c>
      <c r="C661">
        <v>95</v>
      </c>
      <c r="D661">
        <v>72</v>
      </c>
      <c r="E661">
        <v>0</v>
      </c>
      <c r="F661">
        <v>0</v>
      </c>
      <c r="G661" t="str">
        <f>IF(Table1[[#This Row],[BMI]]&lt;18.5,"Underweight",IF(Table1[[#This Row],[BMI]]&lt;25,"Normal",IF(Table1[[#This Row],[BMI]]&lt;30,"Overweight","Obese")))</f>
        <v>Obese</v>
      </c>
      <c r="H661">
        <v>36.799999999999997</v>
      </c>
      <c r="I661">
        <v>0.48499999999999999</v>
      </c>
      <c r="J661" t="str">
        <f>IF(Table1[[#This Row],[Age]]&lt;30,"Young (&lt;30)",IF(Table1[[#This Row],[Age]]&lt;=50,"Middle Age (30-50)","Older (&gt;50)"))</f>
        <v>Older (&gt;50)</v>
      </c>
      <c r="K661">
        <v>57</v>
      </c>
      <c r="L661">
        <v>0</v>
      </c>
    </row>
    <row r="662" spans="1:12" x14ac:dyDescent="0.3">
      <c r="A662">
        <v>8</v>
      </c>
      <c r="B662" t="str">
        <f>IF(Table1[[#This Row],[Glucose]]&lt;100,"Normal",IF(Table1[[#This Row],[Glucose]]&lt;126,"Prediabetes","High Risk"))</f>
        <v>High Risk</v>
      </c>
      <c r="C662">
        <v>126</v>
      </c>
      <c r="D662">
        <v>88</v>
      </c>
      <c r="E662">
        <v>36</v>
      </c>
      <c r="F662">
        <v>108</v>
      </c>
      <c r="G662" t="str">
        <f>IF(Table1[[#This Row],[BMI]]&lt;18.5,"Underweight",IF(Table1[[#This Row],[BMI]]&lt;25,"Normal",IF(Table1[[#This Row],[BMI]]&lt;30,"Overweight","Obese")))</f>
        <v>Obese</v>
      </c>
      <c r="H662">
        <v>38.5</v>
      </c>
      <c r="I662">
        <v>0.34899999999999998</v>
      </c>
      <c r="J662" t="str">
        <f>IF(Table1[[#This Row],[Age]]&lt;30,"Young (&lt;30)",IF(Table1[[#This Row],[Age]]&lt;=50,"Middle Age (30-50)","Older (&gt;50)"))</f>
        <v>Middle Age (30-50)</v>
      </c>
      <c r="K662">
        <v>49</v>
      </c>
      <c r="L662">
        <v>0</v>
      </c>
    </row>
    <row r="663" spans="1:12" x14ac:dyDescent="0.3">
      <c r="A663">
        <v>8</v>
      </c>
      <c r="B663" t="str">
        <f>IF(Table1[[#This Row],[Glucose]]&lt;100,"Normal",IF(Table1[[#This Row],[Glucose]]&lt;126,"Prediabetes","High Risk"))</f>
        <v>Prediabetes</v>
      </c>
      <c r="C663">
        <v>105</v>
      </c>
      <c r="D663">
        <v>100</v>
      </c>
      <c r="E663">
        <v>36</v>
      </c>
      <c r="F663">
        <v>0</v>
      </c>
      <c r="G663" t="str">
        <f>IF(Table1[[#This Row],[BMI]]&lt;18.5,"Underweight",IF(Table1[[#This Row],[BMI]]&lt;25,"Normal",IF(Table1[[#This Row],[BMI]]&lt;30,"Overweight","Obese")))</f>
        <v>Obese</v>
      </c>
      <c r="H663">
        <v>43.3</v>
      </c>
      <c r="I663">
        <v>0.23899999999999999</v>
      </c>
      <c r="J663" t="str">
        <f>IF(Table1[[#This Row],[Age]]&lt;30,"Young (&lt;30)",IF(Table1[[#This Row],[Age]]&lt;=50,"Middle Age (30-50)","Older (&gt;50)"))</f>
        <v>Middle Age (30-50)</v>
      </c>
      <c r="K663">
        <v>45</v>
      </c>
      <c r="L663">
        <v>1</v>
      </c>
    </row>
    <row r="664" spans="1:12" x14ac:dyDescent="0.3">
      <c r="A664">
        <v>8</v>
      </c>
      <c r="B664" t="str">
        <f>IF(Table1[[#This Row],[Glucose]]&lt;100,"Normal",IF(Table1[[#This Row],[Glucose]]&lt;126,"Prediabetes","High Risk"))</f>
        <v>High Risk</v>
      </c>
      <c r="C664">
        <v>197</v>
      </c>
      <c r="D664">
        <v>74</v>
      </c>
      <c r="E664">
        <v>0</v>
      </c>
      <c r="F664">
        <v>0</v>
      </c>
      <c r="G664" t="str">
        <f>IF(Table1[[#This Row],[BMI]]&lt;18.5,"Underweight",IF(Table1[[#This Row],[BMI]]&lt;25,"Normal",IF(Table1[[#This Row],[BMI]]&lt;30,"Overweight","Obese")))</f>
        <v>Overweight</v>
      </c>
      <c r="H664">
        <v>25.9</v>
      </c>
      <c r="I664">
        <v>1.1910000000000001</v>
      </c>
      <c r="J664" t="str">
        <f>IF(Table1[[#This Row],[Age]]&lt;30,"Young (&lt;30)",IF(Table1[[#This Row],[Age]]&lt;=50,"Middle Age (30-50)","Older (&gt;50)"))</f>
        <v>Middle Age (30-50)</v>
      </c>
      <c r="K664">
        <v>39</v>
      </c>
      <c r="L664">
        <v>1</v>
      </c>
    </row>
    <row r="665" spans="1:12" x14ac:dyDescent="0.3">
      <c r="A665">
        <v>8</v>
      </c>
      <c r="B665" t="str">
        <f>IF(Table1[[#This Row],[Glucose]]&lt;100,"Normal",IF(Table1[[#This Row],[Glucose]]&lt;126,"Prediabetes","High Risk"))</f>
        <v>High Risk</v>
      </c>
      <c r="C665">
        <v>151</v>
      </c>
      <c r="D665">
        <v>78</v>
      </c>
      <c r="E665">
        <v>32</v>
      </c>
      <c r="F665">
        <v>210</v>
      </c>
      <c r="G665" t="str">
        <f>IF(Table1[[#This Row],[BMI]]&lt;18.5,"Underweight",IF(Table1[[#This Row],[BMI]]&lt;25,"Normal",IF(Table1[[#This Row],[BMI]]&lt;30,"Overweight","Obese")))</f>
        <v>Obese</v>
      </c>
      <c r="H665">
        <v>42.9</v>
      </c>
      <c r="I665">
        <v>0.51600000000000001</v>
      </c>
      <c r="J665" t="str">
        <f>IF(Table1[[#This Row],[Age]]&lt;30,"Young (&lt;30)",IF(Table1[[#This Row],[Age]]&lt;=50,"Middle Age (30-50)","Older (&gt;50)"))</f>
        <v>Middle Age (30-50)</v>
      </c>
      <c r="K665">
        <v>36</v>
      </c>
      <c r="L665">
        <v>1</v>
      </c>
    </row>
    <row r="666" spans="1:12" x14ac:dyDescent="0.3">
      <c r="A666">
        <v>8</v>
      </c>
      <c r="B666" t="str">
        <f>IF(Table1[[#This Row],[Glucose]]&lt;100,"Normal",IF(Table1[[#This Row],[Glucose]]&lt;126,"Prediabetes","High Risk"))</f>
        <v>Prediabetes</v>
      </c>
      <c r="C666">
        <v>108</v>
      </c>
      <c r="D666">
        <v>70</v>
      </c>
      <c r="E666">
        <v>0</v>
      </c>
      <c r="F666">
        <v>0</v>
      </c>
      <c r="G666" t="str">
        <f>IF(Table1[[#This Row],[BMI]]&lt;18.5,"Underweight",IF(Table1[[#This Row],[BMI]]&lt;25,"Normal",IF(Table1[[#This Row],[BMI]]&lt;30,"Overweight","Obese")))</f>
        <v>Obese</v>
      </c>
      <c r="H666">
        <v>30.5</v>
      </c>
      <c r="I666">
        <v>0.95499999999999996</v>
      </c>
      <c r="J666" t="str">
        <f>IF(Table1[[#This Row],[Age]]&lt;30,"Young (&lt;30)",IF(Table1[[#This Row],[Age]]&lt;=50,"Middle Age (30-50)","Older (&gt;50)"))</f>
        <v>Middle Age (30-50)</v>
      </c>
      <c r="K666">
        <v>33</v>
      </c>
      <c r="L666">
        <v>1</v>
      </c>
    </row>
    <row r="667" spans="1:12" x14ac:dyDescent="0.3">
      <c r="A667">
        <v>8</v>
      </c>
      <c r="B667" t="str">
        <f>IF(Table1[[#This Row],[Glucose]]&lt;100,"Normal",IF(Table1[[#This Row],[Glucose]]&lt;126,"Prediabetes","High Risk"))</f>
        <v>Normal</v>
      </c>
      <c r="C667">
        <v>74</v>
      </c>
      <c r="D667">
        <v>70</v>
      </c>
      <c r="E667">
        <v>40</v>
      </c>
      <c r="F667">
        <v>49</v>
      </c>
      <c r="G667" t="str">
        <f>IF(Table1[[#This Row],[BMI]]&lt;18.5,"Underweight",IF(Table1[[#This Row],[BMI]]&lt;25,"Normal",IF(Table1[[#This Row],[BMI]]&lt;30,"Overweight","Obese")))</f>
        <v>Obese</v>
      </c>
      <c r="H667">
        <v>35.299999999999997</v>
      </c>
      <c r="I667">
        <v>0.70499999999999996</v>
      </c>
      <c r="J667" t="str">
        <f>IF(Table1[[#This Row],[Age]]&lt;30,"Young (&lt;30)",IF(Table1[[#This Row],[Age]]&lt;=50,"Middle Age (30-50)","Older (&gt;50)"))</f>
        <v>Middle Age (30-50)</v>
      </c>
      <c r="K667">
        <v>39</v>
      </c>
      <c r="L667">
        <v>0</v>
      </c>
    </row>
    <row r="668" spans="1:12" x14ac:dyDescent="0.3">
      <c r="A668">
        <v>8</v>
      </c>
      <c r="B668" t="str">
        <f>IF(Table1[[#This Row],[Glucose]]&lt;100,"Normal",IF(Table1[[#This Row],[Glucose]]&lt;126,"Prediabetes","High Risk"))</f>
        <v>Prediabetes</v>
      </c>
      <c r="C668">
        <v>120</v>
      </c>
      <c r="D668">
        <v>0</v>
      </c>
      <c r="E668">
        <v>0</v>
      </c>
      <c r="F668">
        <v>0</v>
      </c>
      <c r="G668" t="str">
        <f>IF(Table1[[#This Row],[BMI]]&lt;18.5,"Underweight",IF(Table1[[#This Row],[BMI]]&lt;25,"Normal",IF(Table1[[#This Row],[BMI]]&lt;30,"Overweight","Obese")))</f>
        <v>Obese</v>
      </c>
      <c r="H668">
        <v>30</v>
      </c>
      <c r="I668">
        <v>0.183</v>
      </c>
      <c r="J668" t="str">
        <f>IF(Table1[[#This Row],[Age]]&lt;30,"Young (&lt;30)",IF(Table1[[#This Row],[Age]]&lt;=50,"Middle Age (30-50)","Older (&gt;50)"))</f>
        <v>Middle Age (30-50)</v>
      </c>
      <c r="K668">
        <v>38</v>
      </c>
      <c r="L668">
        <v>1</v>
      </c>
    </row>
    <row r="669" spans="1:12" x14ac:dyDescent="0.3">
      <c r="A669">
        <v>8</v>
      </c>
      <c r="B669" t="str">
        <f>IF(Table1[[#This Row],[Glucose]]&lt;100,"Normal",IF(Table1[[#This Row],[Glucose]]&lt;126,"Prediabetes","High Risk"))</f>
        <v>High Risk</v>
      </c>
      <c r="C669">
        <v>126</v>
      </c>
      <c r="D669">
        <v>74</v>
      </c>
      <c r="E669">
        <v>38</v>
      </c>
      <c r="F669">
        <v>75</v>
      </c>
      <c r="G669" t="str">
        <f>IF(Table1[[#This Row],[BMI]]&lt;18.5,"Underweight",IF(Table1[[#This Row],[BMI]]&lt;25,"Normal",IF(Table1[[#This Row],[BMI]]&lt;30,"Overweight","Obese")))</f>
        <v>Overweight</v>
      </c>
      <c r="H669">
        <v>25.9</v>
      </c>
      <c r="I669">
        <v>0.16200000000000001</v>
      </c>
      <c r="J669" t="str">
        <f>IF(Table1[[#This Row],[Age]]&lt;30,"Young (&lt;30)",IF(Table1[[#This Row],[Age]]&lt;=50,"Middle Age (30-50)","Older (&gt;50)"))</f>
        <v>Middle Age (30-50)</v>
      </c>
      <c r="K669">
        <v>39</v>
      </c>
      <c r="L669">
        <v>0</v>
      </c>
    </row>
    <row r="670" spans="1:12" x14ac:dyDescent="0.3">
      <c r="A670">
        <v>8</v>
      </c>
      <c r="B670" t="str">
        <f>IF(Table1[[#This Row],[Glucose]]&lt;100,"Normal",IF(Table1[[#This Row],[Glucose]]&lt;126,"Prediabetes","High Risk"))</f>
        <v>High Risk</v>
      </c>
      <c r="C670">
        <v>194</v>
      </c>
      <c r="D670">
        <v>80</v>
      </c>
      <c r="E670">
        <v>0</v>
      </c>
      <c r="F670">
        <v>0</v>
      </c>
      <c r="G670" t="str">
        <f>IF(Table1[[#This Row],[BMI]]&lt;18.5,"Underweight",IF(Table1[[#This Row],[BMI]]&lt;25,"Normal",IF(Table1[[#This Row],[BMI]]&lt;30,"Overweight","Obese")))</f>
        <v>Overweight</v>
      </c>
      <c r="H670">
        <v>26.1</v>
      </c>
      <c r="I670">
        <v>0.55100000000000005</v>
      </c>
      <c r="J670" t="str">
        <f>IF(Table1[[#This Row],[Age]]&lt;30,"Young (&lt;30)",IF(Table1[[#This Row],[Age]]&lt;=50,"Middle Age (30-50)","Older (&gt;50)"))</f>
        <v>Older (&gt;50)</v>
      </c>
      <c r="K670">
        <v>67</v>
      </c>
      <c r="L670">
        <v>0</v>
      </c>
    </row>
    <row r="671" spans="1:12" x14ac:dyDescent="0.3">
      <c r="A671">
        <v>8</v>
      </c>
      <c r="B671" t="str">
        <f>IF(Table1[[#This Row],[Glucose]]&lt;100,"Normal",IF(Table1[[#This Row],[Glucose]]&lt;126,"Prediabetes","High Risk"))</f>
        <v>Prediabetes</v>
      </c>
      <c r="C671">
        <v>120</v>
      </c>
      <c r="D671">
        <v>78</v>
      </c>
      <c r="E671">
        <v>0</v>
      </c>
      <c r="F671">
        <v>0</v>
      </c>
      <c r="G671" t="str">
        <f>IF(Table1[[#This Row],[BMI]]&lt;18.5,"Underweight",IF(Table1[[#This Row],[BMI]]&lt;25,"Normal",IF(Table1[[#This Row],[BMI]]&lt;30,"Overweight","Obese")))</f>
        <v>Overweight</v>
      </c>
      <c r="H671">
        <v>25</v>
      </c>
      <c r="I671">
        <v>0.40899999999999997</v>
      </c>
      <c r="J671" t="str">
        <f>IF(Table1[[#This Row],[Age]]&lt;30,"Young (&lt;30)",IF(Table1[[#This Row],[Age]]&lt;=50,"Middle Age (30-50)","Older (&gt;50)"))</f>
        <v>Older (&gt;50)</v>
      </c>
      <c r="K671">
        <v>64</v>
      </c>
      <c r="L671">
        <v>0</v>
      </c>
    </row>
    <row r="672" spans="1:12" x14ac:dyDescent="0.3">
      <c r="A672">
        <v>8</v>
      </c>
      <c r="B672" t="str">
        <f>IF(Table1[[#This Row],[Glucose]]&lt;100,"Normal",IF(Table1[[#This Row],[Glucose]]&lt;126,"Prediabetes","High Risk"))</f>
        <v>Prediabetes</v>
      </c>
      <c r="C672">
        <v>100</v>
      </c>
      <c r="D672">
        <v>74</v>
      </c>
      <c r="E672">
        <v>40</v>
      </c>
      <c r="F672">
        <v>215</v>
      </c>
      <c r="G672" t="str">
        <f>IF(Table1[[#This Row],[BMI]]&lt;18.5,"Underweight",IF(Table1[[#This Row],[BMI]]&lt;25,"Normal",IF(Table1[[#This Row],[BMI]]&lt;30,"Overweight","Obese")))</f>
        <v>Obese</v>
      </c>
      <c r="H672">
        <v>39.4</v>
      </c>
      <c r="I672">
        <v>0.66100000000000003</v>
      </c>
      <c r="J672" t="str">
        <f>IF(Table1[[#This Row],[Age]]&lt;30,"Young (&lt;30)",IF(Table1[[#This Row],[Age]]&lt;=50,"Middle Age (30-50)","Older (&gt;50)"))</f>
        <v>Middle Age (30-50)</v>
      </c>
      <c r="K672">
        <v>43</v>
      </c>
      <c r="L672">
        <v>1</v>
      </c>
    </row>
    <row r="673" spans="1:12" x14ac:dyDescent="0.3">
      <c r="A673">
        <v>8</v>
      </c>
      <c r="B673" t="str">
        <f>IF(Table1[[#This Row],[Glucose]]&lt;100,"Normal",IF(Table1[[#This Row],[Glucose]]&lt;126,"Prediabetes","High Risk"))</f>
        <v>High Risk</v>
      </c>
      <c r="C673">
        <v>186</v>
      </c>
      <c r="D673">
        <v>90</v>
      </c>
      <c r="E673">
        <v>35</v>
      </c>
      <c r="F673">
        <v>225</v>
      </c>
      <c r="G673" t="str">
        <f>IF(Table1[[#This Row],[BMI]]&lt;18.5,"Underweight",IF(Table1[[#This Row],[BMI]]&lt;25,"Normal",IF(Table1[[#This Row],[BMI]]&lt;30,"Overweight","Obese")))</f>
        <v>Obese</v>
      </c>
      <c r="H673">
        <v>34.5</v>
      </c>
      <c r="I673">
        <v>0.42299999999999999</v>
      </c>
      <c r="J673" t="str">
        <f>IF(Table1[[#This Row],[Age]]&lt;30,"Young (&lt;30)",IF(Table1[[#This Row],[Age]]&lt;=50,"Middle Age (30-50)","Older (&gt;50)"))</f>
        <v>Middle Age (30-50)</v>
      </c>
      <c r="K673">
        <v>37</v>
      </c>
      <c r="L673">
        <v>1</v>
      </c>
    </row>
    <row r="674" spans="1:12" x14ac:dyDescent="0.3">
      <c r="A674">
        <v>8</v>
      </c>
      <c r="B674" t="str">
        <f>IF(Table1[[#This Row],[Glucose]]&lt;100,"Normal",IF(Table1[[#This Row],[Glucose]]&lt;126,"Prediabetes","High Risk"))</f>
        <v>Prediabetes</v>
      </c>
      <c r="C674">
        <v>110</v>
      </c>
      <c r="D674">
        <v>76</v>
      </c>
      <c r="E674">
        <v>0</v>
      </c>
      <c r="F674">
        <v>0</v>
      </c>
      <c r="G674" t="str">
        <f>IF(Table1[[#This Row],[BMI]]&lt;18.5,"Underweight",IF(Table1[[#This Row],[BMI]]&lt;25,"Normal",IF(Table1[[#This Row],[BMI]]&lt;30,"Overweight","Obese")))</f>
        <v>Overweight</v>
      </c>
      <c r="H674">
        <v>27.8</v>
      </c>
      <c r="I674">
        <v>0.23699999999999999</v>
      </c>
      <c r="J674" t="str">
        <f>IF(Table1[[#This Row],[Age]]&lt;30,"Young (&lt;30)",IF(Table1[[#This Row],[Age]]&lt;=50,"Middle Age (30-50)","Older (&gt;50)"))</f>
        <v>Older (&gt;50)</v>
      </c>
      <c r="K674">
        <v>58</v>
      </c>
      <c r="L674">
        <v>0</v>
      </c>
    </row>
    <row r="675" spans="1:12" x14ac:dyDescent="0.3">
      <c r="A675">
        <v>8</v>
      </c>
      <c r="B675" t="str">
        <f>IF(Table1[[#This Row],[Glucose]]&lt;100,"Normal",IF(Table1[[#This Row],[Glucose]]&lt;126,"Prediabetes","High Risk"))</f>
        <v>Prediabetes</v>
      </c>
      <c r="C675">
        <v>100</v>
      </c>
      <c r="D675">
        <v>76</v>
      </c>
      <c r="E675">
        <v>0</v>
      </c>
      <c r="F675">
        <v>0</v>
      </c>
      <c r="G675" t="str">
        <f>IF(Table1[[#This Row],[BMI]]&lt;18.5,"Underweight",IF(Table1[[#This Row],[BMI]]&lt;25,"Normal",IF(Table1[[#This Row],[BMI]]&lt;30,"Overweight","Obese")))</f>
        <v>Obese</v>
      </c>
      <c r="H675">
        <v>38.700000000000003</v>
      </c>
      <c r="I675">
        <v>0.19</v>
      </c>
      <c r="J675" t="str">
        <f>IF(Table1[[#This Row],[Age]]&lt;30,"Young (&lt;30)",IF(Table1[[#This Row],[Age]]&lt;=50,"Middle Age (30-50)","Older (&gt;50)"))</f>
        <v>Middle Age (30-50)</v>
      </c>
      <c r="K675">
        <v>42</v>
      </c>
      <c r="L675">
        <v>0</v>
      </c>
    </row>
    <row r="676" spans="1:12" x14ac:dyDescent="0.3">
      <c r="A676">
        <v>8</v>
      </c>
      <c r="B676" t="str">
        <f>IF(Table1[[#This Row],[Glucose]]&lt;100,"Normal",IF(Table1[[#This Row],[Glucose]]&lt;126,"Prediabetes","High Risk"))</f>
        <v>Prediabetes</v>
      </c>
      <c r="C676">
        <v>124</v>
      </c>
      <c r="D676">
        <v>76</v>
      </c>
      <c r="E676">
        <v>24</v>
      </c>
      <c r="F676">
        <v>600</v>
      </c>
      <c r="G676" t="str">
        <f>IF(Table1[[#This Row],[BMI]]&lt;18.5,"Underweight",IF(Table1[[#This Row],[BMI]]&lt;25,"Normal",IF(Table1[[#This Row],[BMI]]&lt;30,"Overweight","Obese")))</f>
        <v>Overweight</v>
      </c>
      <c r="H676">
        <v>28.7</v>
      </c>
      <c r="I676">
        <v>0.68700000000000006</v>
      </c>
      <c r="J676" t="str">
        <f>IF(Table1[[#This Row],[Age]]&lt;30,"Young (&lt;30)",IF(Table1[[#This Row],[Age]]&lt;=50,"Middle Age (30-50)","Older (&gt;50)"))</f>
        <v>Older (&gt;50)</v>
      </c>
      <c r="K676">
        <v>52</v>
      </c>
      <c r="L676">
        <v>1</v>
      </c>
    </row>
    <row r="677" spans="1:12" x14ac:dyDescent="0.3">
      <c r="A677">
        <v>8</v>
      </c>
      <c r="B677" t="str">
        <f>IF(Table1[[#This Row],[Glucose]]&lt;100,"Normal",IF(Table1[[#This Row],[Glucose]]&lt;126,"Prediabetes","High Risk"))</f>
        <v>High Risk</v>
      </c>
      <c r="C677">
        <v>143</v>
      </c>
      <c r="D677">
        <v>66</v>
      </c>
      <c r="E677">
        <v>0</v>
      </c>
      <c r="F677">
        <v>0</v>
      </c>
      <c r="G677" t="str">
        <f>IF(Table1[[#This Row],[BMI]]&lt;18.5,"Underweight",IF(Table1[[#This Row],[BMI]]&lt;25,"Normal",IF(Table1[[#This Row],[BMI]]&lt;30,"Overweight","Obese")))</f>
        <v>Obese</v>
      </c>
      <c r="H677">
        <v>34.9</v>
      </c>
      <c r="I677">
        <v>0.129</v>
      </c>
      <c r="J677" t="str">
        <f>IF(Table1[[#This Row],[Age]]&lt;30,"Young (&lt;30)",IF(Table1[[#This Row],[Age]]&lt;=50,"Middle Age (30-50)","Older (&gt;50)"))</f>
        <v>Middle Age (30-50)</v>
      </c>
      <c r="K677">
        <v>41</v>
      </c>
      <c r="L677">
        <v>1</v>
      </c>
    </row>
    <row r="678" spans="1:12" x14ac:dyDescent="0.3">
      <c r="A678">
        <v>8</v>
      </c>
      <c r="B678" t="str">
        <f>IF(Table1[[#This Row],[Glucose]]&lt;100,"Normal",IF(Table1[[#This Row],[Glucose]]&lt;126,"Prediabetes","High Risk"))</f>
        <v>High Risk</v>
      </c>
      <c r="C678">
        <v>167</v>
      </c>
      <c r="D678">
        <v>106</v>
      </c>
      <c r="E678">
        <v>46</v>
      </c>
      <c r="F678">
        <v>231</v>
      </c>
      <c r="G678" t="str">
        <f>IF(Table1[[#This Row],[BMI]]&lt;18.5,"Underweight",IF(Table1[[#This Row],[BMI]]&lt;25,"Normal",IF(Table1[[#This Row],[BMI]]&lt;30,"Overweight","Obese")))</f>
        <v>Obese</v>
      </c>
      <c r="H678">
        <v>37.6</v>
      </c>
      <c r="I678">
        <v>0.16500000000000001</v>
      </c>
      <c r="J678" t="str">
        <f>IF(Table1[[#This Row],[Age]]&lt;30,"Young (&lt;30)",IF(Table1[[#This Row],[Age]]&lt;=50,"Middle Age (30-50)","Older (&gt;50)"))</f>
        <v>Middle Age (30-50)</v>
      </c>
      <c r="K678">
        <v>43</v>
      </c>
      <c r="L678">
        <v>1</v>
      </c>
    </row>
    <row r="679" spans="1:12" x14ac:dyDescent="0.3">
      <c r="A679">
        <v>8</v>
      </c>
      <c r="B679" t="str">
        <f>IF(Table1[[#This Row],[Glucose]]&lt;100,"Normal",IF(Table1[[#This Row],[Glucose]]&lt;126,"Prediabetes","High Risk"))</f>
        <v>Normal</v>
      </c>
      <c r="C679">
        <v>91</v>
      </c>
      <c r="D679">
        <v>82</v>
      </c>
      <c r="E679">
        <v>0</v>
      </c>
      <c r="F679">
        <v>0</v>
      </c>
      <c r="G679" t="str">
        <f>IF(Table1[[#This Row],[BMI]]&lt;18.5,"Underweight",IF(Table1[[#This Row],[BMI]]&lt;25,"Normal",IF(Table1[[#This Row],[BMI]]&lt;30,"Overweight","Obese")))</f>
        <v>Obese</v>
      </c>
      <c r="H679">
        <v>35.6</v>
      </c>
      <c r="I679">
        <v>0.58699999999999997</v>
      </c>
      <c r="J679" t="str">
        <f>IF(Table1[[#This Row],[Age]]&lt;30,"Young (&lt;30)",IF(Table1[[#This Row],[Age]]&lt;=50,"Middle Age (30-50)","Older (&gt;50)"))</f>
        <v>Older (&gt;50)</v>
      </c>
      <c r="K679">
        <v>68</v>
      </c>
      <c r="L679">
        <v>0</v>
      </c>
    </row>
    <row r="680" spans="1:12" x14ac:dyDescent="0.3">
      <c r="A680">
        <v>8</v>
      </c>
      <c r="B680" t="str">
        <f>IF(Table1[[#This Row],[Glucose]]&lt;100,"Normal",IF(Table1[[#This Row],[Glucose]]&lt;126,"Prediabetes","High Risk"))</f>
        <v>Prediabetes</v>
      </c>
      <c r="C680">
        <v>107</v>
      </c>
      <c r="D680">
        <v>80</v>
      </c>
      <c r="E680">
        <v>0</v>
      </c>
      <c r="F680">
        <v>0</v>
      </c>
      <c r="G680" t="str">
        <f>IF(Table1[[#This Row],[BMI]]&lt;18.5,"Underweight",IF(Table1[[#This Row],[BMI]]&lt;25,"Normal",IF(Table1[[#This Row],[BMI]]&lt;30,"Overweight","Obese")))</f>
        <v>Normal</v>
      </c>
      <c r="H680">
        <v>24.6</v>
      </c>
      <c r="I680">
        <v>0.85599999999999998</v>
      </c>
      <c r="J680" t="str">
        <f>IF(Table1[[#This Row],[Age]]&lt;30,"Young (&lt;30)",IF(Table1[[#This Row],[Age]]&lt;=50,"Middle Age (30-50)","Older (&gt;50)"))</f>
        <v>Middle Age (30-50)</v>
      </c>
      <c r="K680">
        <v>34</v>
      </c>
      <c r="L680">
        <v>0</v>
      </c>
    </row>
    <row r="681" spans="1:12" x14ac:dyDescent="0.3">
      <c r="A681">
        <v>8</v>
      </c>
      <c r="B681" t="str">
        <f>IF(Table1[[#This Row],[Glucose]]&lt;100,"Normal",IF(Table1[[#This Row],[Glucose]]&lt;126,"Prediabetes","High Risk"))</f>
        <v>Prediabetes</v>
      </c>
      <c r="C681">
        <v>120</v>
      </c>
      <c r="D681">
        <v>86</v>
      </c>
      <c r="E681">
        <v>0</v>
      </c>
      <c r="F681">
        <v>0</v>
      </c>
      <c r="G681" t="str">
        <f>IF(Table1[[#This Row],[BMI]]&lt;18.5,"Underweight",IF(Table1[[#This Row],[BMI]]&lt;25,"Normal",IF(Table1[[#This Row],[BMI]]&lt;30,"Overweight","Obese")))</f>
        <v>Overweight</v>
      </c>
      <c r="H681">
        <v>28.4</v>
      </c>
      <c r="I681">
        <v>0.25900000000000001</v>
      </c>
      <c r="J681" t="str">
        <f>IF(Table1[[#This Row],[Age]]&lt;30,"Young (&lt;30)",IF(Table1[[#This Row],[Age]]&lt;=50,"Middle Age (30-50)","Older (&gt;50)"))</f>
        <v>Young (&lt;30)</v>
      </c>
      <c r="K681">
        <v>22</v>
      </c>
      <c r="L681">
        <v>1</v>
      </c>
    </row>
    <row r="682" spans="1:12" x14ac:dyDescent="0.3">
      <c r="A682">
        <v>8</v>
      </c>
      <c r="B682" t="str">
        <f>IF(Table1[[#This Row],[Glucose]]&lt;100,"Normal",IF(Table1[[#This Row],[Glucose]]&lt;126,"Prediabetes","High Risk"))</f>
        <v>Normal</v>
      </c>
      <c r="C682">
        <v>65</v>
      </c>
      <c r="D682">
        <v>72</v>
      </c>
      <c r="E682">
        <v>23</v>
      </c>
      <c r="F682">
        <v>0</v>
      </c>
      <c r="G682" t="str">
        <f>IF(Table1[[#This Row],[BMI]]&lt;18.5,"Underweight",IF(Table1[[#This Row],[BMI]]&lt;25,"Normal",IF(Table1[[#This Row],[BMI]]&lt;30,"Overweight","Obese")))</f>
        <v>Obese</v>
      </c>
      <c r="H682">
        <v>32</v>
      </c>
      <c r="I682">
        <v>0.6</v>
      </c>
      <c r="J682" t="str">
        <f>IF(Table1[[#This Row],[Age]]&lt;30,"Young (&lt;30)",IF(Table1[[#This Row],[Age]]&lt;=50,"Middle Age (30-50)","Older (&gt;50)"))</f>
        <v>Middle Age (30-50)</v>
      </c>
      <c r="K682">
        <v>42</v>
      </c>
      <c r="L682">
        <v>0</v>
      </c>
    </row>
    <row r="683" spans="1:12" x14ac:dyDescent="0.3">
      <c r="A683">
        <v>8</v>
      </c>
      <c r="B683" t="str">
        <f>IF(Table1[[#This Row],[Glucose]]&lt;100,"Normal",IF(Table1[[#This Row],[Glucose]]&lt;126,"Prediabetes","High Risk"))</f>
        <v>High Risk</v>
      </c>
      <c r="C683">
        <v>154</v>
      </c>
      <c r="D683">
        <v>78</v>
      </c>
      <c r="E683">
        <v>32</v>
      </c>
      <c r="F683">
        <v>0</v>
      </c>
      <c r="G683" t="str">
        <f>IF(Table1[[#This Row],[BMI]]&lt;18.5,"Underweight",IF(Table1[[#This Row],[BMI]]&lt;25,"Normal",IF(Table1[[#This Row],[BMI]]&lt;30,"Overweight","Obese")))</f>
        <v>Obese</v>
      </c>
      <c r="H683">
        <v>32.4</v>
      </c>
      <c r="I683">
        <v>0.443</v>
      </c>
      <c r="J683" t="str">
        <f>IF(Table1[[#This Row],[Age]]&lt;30,"Young (&lt;30)",IF(Table1[[#This Row],[Age]]&lt;=50,"Middle Age (30-50)","Older (&gt;50)"))</f>
        <v>Middle Age (30-50)</v>
      </c>
      <c r="K683">
        <v>45</v>
      </c>
      <c r="L683">
        <v>1</v>
      </c>
    </row>
    <row r="684" spans="1:12" x14ac:dyDescent="0.3">
      <c r="A684">
        <v>9</v>
      </c>
      <c r="B684" t="str">
        <f>IF(Table1[[#This Row],[Glucose]]&lt;100,"Normal",IF(Table1[[#This Row],[Glucose]]&lt;126,"Prediabetes","High Risk"))</f>
        <v>Prediabetes</v>
      </c>
      <c r="C684">
        <v>119</v>
      </c>
      <c r="D684">
        <v>80</v>
      </c>
      <c r="E684">
        <v>35</v>
      </c>
      <c r="F684">
        <v>0</v>
      </c>
      <c r="G684" t="str">
        <f>IF(Table1[[#This Row],[BMI]]&lt;18.5,"Underweight",IF(Table1[[#This Row],[BMI]]&lt;25,"Normal",IF(Table1[[#This Row],[BMI]]&lt;30,"Overweight","Obese")))</f>
        <v>Overweight</v>
      </c>
      <c r="H684">
        <v>29</v>
      </c>
      <c r="I684">
        <v>0.26300000000000001</v>
      </c>
      <c r="J684" t="str">
        <f>IF(Table1[[#This Row],[Age]]&lt;30,"Young (&lt;30)",IF(Table1[[#This Row],[Age]]&lt;=50,"Middle Age (30-50)","Older (&gt;50)"))</f>
        <v>Young (&lt;30)</v>
      </c>
      <c r="K684">
        <v>29</v>
      </c>
      <c r="L684">
        <v>1</v>
      </c>
    </row>
    <row r="685" spans="1:12" x14ac:dyDescent="0.3">
      <c r="A685">
        <v>9</v>
      </c>
      <c r="B685" t="str">
        <f>IF(Table1[[#This Row],[Glucose]]&lt;100,"Normal",IF(Table1[[#This Row],[Glucose]]&lt;126,"Prediabetes","High Risk"))</f>
        <v>Prediabetes</v>
      </c>
      <c r="C685">
        <v>102</v>
      </c>
      <c r="D685">
        <v>76</v>
      </c>
      <c r="E685">
        <v>37</v>
      </c>
      <c r="F685">
        <v>0</v>
      </c>
      <c r="G685" t="str">
        <f>IF(Table1[[#This Row],[BMI]]&lt;18.5,"Underweight",IF(Table1[[#This Row],[BMI]]&lt;25,"Normal",IF(Table1[[#This Row],[BMI]]&lt;30,"Overweight","Obese")))</f>
        <v>Obese</v>
      </c>
      <c r="H685">
        <v>32.9</v>
      </c>
      <c r="I685">
        <v>0.66500000000000004</v>
      </c>
      <c r="J685" t="str">
        <f>IF(Table1[[#This Row],[Age]]&lt;30,"Young (&lt;30)",IF(Table1[[#This Row],[Age]]&lt;=50,"Middle Age (30-50)","Older (&gt;50)"))</f>
        <v>Middle Age (30-50)</v>
      </c>
      <c r="K685">
        <v>46</v>
      </c>
      <c r="L685">
        <v>1</v>
      </c>
    </row>
    <row r="686" spans="1:12" x14ac:dyDescent="0.3">
      <c r="A686">
        <v>9</v>
      </c>
      <c r="B686" t="str">
        <f>IF(Table1[[#This Row],[Glucose]]&lt;100,"Normal",IF(Table1[[#This Row],[Glucose]]&lt;126,"Prediabetes","High Risk"))</f>
        <v>High Risk</v>
      </c>
      <c r="C686">
        <v>171</v>
      </c>
      <c r="D686">
        <v>110</v>
      </c>
      <c r="E686">
        <v>24</v>
      </c>
      <c r="F686">
        <v>240</v>
      </c>
      <c r="G686" t="str">
        <f>IF(Table1[[#This Row],[BMI]]&lt;18.5,"Underweight",IF(Table1[[#This Row],[BMI]]&lt;25,"Normal",IF(Table1[[#This Row],[BMI]]&lt;30,"Overweight","Obese")))</f>
        <v>Obese</v>
      </c>
      <c r="H686">
        <v>45.4</v>
      </c>
      <c r="I686">
        <v>0.72099999999999997</v>
      </c>
      <c r="J686" t="str">
        <f>IF(Table1[[#This Row],[Age]]&lt;30,"Young (&lt;30)",IF(Table1[[#This Row],[Age]]&lt;=50,"Middle Age (30-50)","Older (&gt;50)"))</f>
        <v>Older (&gt;50)</v>
      </c>
      <c r="K686">
        <v>54</v>
      </c>
      <c r="L686">
        <v>1</v>
      </c>
    </row>
    <row r="687" spans="1:12" x14ac:dyDescent="0.3">
      <c r="A687">
        <v>9</v>
      </c>
      <c r="B687" t="str">
        <f>IF(Table1[[#This Row],[Glucose]]&lt;100,"Normal",IF(Table1[[#This Row],[Glucose]]&lt;126,"Prediabetes","High Risk"))</f>
        <v>Prediabetes</v>
      </c>
      <c r="C687">
        <v>122</v>
      </c>
      <c r="D687">
        <v>56</v>
      </c>
      <c r="E687">
        <v>0</v>
      </c>
      <c r="F687">
        <v>0</v>
      </c>
      <c r="G687" t="str">
        <f>IF(Table1[[#This Row],[BMI]]&lt;18.5,"Underweight",IF(Table1[[#This Row],[BMI]]&lt;25,"Normal",IF(Table1[[#This Row],[BMI]]&lt;30,"Overweight","Obese")))</f>
        <v>Obese</v>
      </c>
      <c r="H687">
        <v>33.299999999999997</v>
      </c>
      <c r="I687">
        <v>1.1140000000000001</v>
      </c>
      <c r="J687" t="str">
        <f>IF(Table1[[#This Row],[Age]]&lt;30,"Young (&lt;30)",IF(Table1[[#This Row],[Age]]&lt;=50,"Middle Age (30-50)","Older (&gt;50)"))</f>
        <v>Middle Age (30-50)</v>
      </c>
      <c r="K687">
        <v>33</v>
      </c>
      <c r="L687">
        <v>1</v>
      </c>
    </row>
    <row r="688" spans="1:12" x14ac:dyDescent="0.3">
      <c r="A688">
        <v>9</v>
      </c>
      <c r="B688" t="str">
        <f>IF(Table1[[#This Row],[Glucose]]&lt;100,"Normal",IF(Table1[[#This Row],[Glucose]]&lt;126,"Prediabetes","High Risk"))</f>
        <v>Normal</v>
      </c>
      <c r="C688">
        <v>57</v>
      </c>
      <c r="D688">
        <v>80</v>
      </c>
      <c r="E688">
        <v>37</v>
      </c>
      <c r="F688">
        <v>0</v>
      </c>
      <c r="G688" t="str">
        <f>IF(Table1[[#This Row],[BMI]]&lt;18.5,"Underweight",IF(Table1[[#This Row],[BMI]]&lt;25,"Normal",IF(Table1[[#This Row],[BMI]]&lt;30,"Overweight","Obese")))</f>
        <v>Obese</v>
      </c>
      <c r="H688">
        <v>32.799999999999997</v>
      </c>
      <c r="I688">
        <v>9.6000000000000002E-2</v>
      </c>
      <c r="J688" t="str">
        <f>IF(Table1[[#This Row],[Age]]&lt;30,"Young (&lt;30)",IF(Table1[[#This Row],[Age]]&lt;=50,"Middle Age (30-50)","Older (&gt;50)"))</f>
        <v>Middle Age (30-50)</v>
      </c>
      <c r="K688">
        <v>41</v>
      </c>
      <c r="L688">
        <v>0</v>
      </c>
    </row>
    <row r="689" spans="1:12" x14ac:dyDescent="0.3">
      <c r="A689">
        <v>9</v>
      </c>
      <c r="B689" t="str">
        <f>IF(Table1[[#This Row],[Glucose]]&lt;100,"Normal",IF(Table1[[#This Row],[Glucose]]&lt;126,"Prediabetes","High Risk"))</f>
        <v>High Risk</v>
      </c>
      <c r="C689">
        <v>156</v>
      </c>
      <c r="D689">
        <v>86</v>
      </c>
      <c r="E689">
        <v>28</v>
      </c>
      <c r="F689">
        <v>155</v>
      </c>
      <c r="G689" t="str">
        <f>IF(Table1[[#This Row],[BMI]]&lt;18.5,"Underweight",IF(Table1[[#This Row],[BMI]]&lt;25,"Normal",IF(Table1[[#This Row],[BMI]]&lt;30,"Overweight","Obese")))</f>
        <v>Obese</v>
      </c>
      <c r="H689">
        <v>34.299999999999997</v>
      </c>
      <c r="I689">
        <v>1.1890000000000001</v>
      </c>
      <c r="J689" t="str">
        <f>IF(Table1[[#This Row],[Age]]&lt;30,"Young (&lt;30)",IF(Table1[[#This Row],[Age]]&lt;=50,"Middle Age (30-50)","Older (&gt;50)"))</f>
        <v>Middle Age (30-50)</v>
      </c>
      <c r="K689">
        <v>42</v>
      </c>
      <c r="L689">
        <v>1</v>
      </c>
    </row>
    <row r="690" spans="1:12" x14ac:dyDescent="0.3">
      <c r="A690">
        <v>9</v>
      </c>
      <c r="B690" t="str">
        <f>IF(Table1[[#This Row],[Glucose]]&lt;100,"Normal",IF(Table1[[#This Row],[Glucose]]&lt;126,"Prediabetes","High Risk"))</f>
        <v>Prediabetes</v>
      </c>
      <c r="C690">
        <v>123</v>
      </c>
      <c r="D690">
        <v>70</v>
      </c>
      <c r="E690">
        <v>44</v>
      </c>
      <c r="F690">
        <v>94</v>
      </c>
      <c r="G690" t="str">
        <f>IF(Table1[[#This Row],[BMI]]&lt;18.5,"Underweight",IF(Table1[[#This Row],[BMI]]&lt;25,"Normal",IF(Table1[[#This Row],[BMI]]&lt;30,"Overweight","Obese")))</f>
        <v>Obese</v>
      </c>
      <c r="H690">
        <v>33.1</v>
      </c>
      <c r="I690">
        <v>0.374</v>
      </c>
      <c r="J690" t="str">
        <f>IF(Table1[[#This Row],[Age]]&lt;30,"Young (&lt;30)",IF(Table1[[#This Row],[Age]]&lt;=50,"Middle Age (30-50)","Older (&gt;50)"))</f>
        <v>Middle Age (30-50)</v>
      </c>
      <c r="K690">
        <v>40</v>
      </c>
      <c r="L690">
        <v>0</v>
      </c>
    </row>
    <row r="691" spans="1:12" x14ac:dyDescent="0.3">
      <c r="A691">
        <v>9</v>
      </c>
      <c r="B691" t="str">
        <f>IF(Table1[[#This Row],[Glucose]]&lt;100,"Normal",IF(Table1[[#This Row],[Glucose]]&lt;126,"Prediabetes","High Risk"))</f>
        <v>Prediabetes</v>
      </c>
      <c r="C691">
        <v>112</v>
      </c>
      <c r="D691">
        <v>82</v>
      </c>
      <c r="E691">
        <v>32</v>
      </c>
      <c r="F691">
        <v>175</v>
      </c>
      <c r="G691" t="str">
        <f>IF(Table1[[#This Row],[BMI]]&lt;18.5,"Underweight",IF(Table1[[#This Row],[BMI]]&lt;25,"Normal",IF(Table1[[#This Row],[BMI]]&lt;30,"Overweight","Obese")))</f>
        <v>Obese</v>
      </c>
      <c r="H691">
        <v>34.200000000000003</v>
      </c>
      <c r="I691">
        <v>0.26</v>
      </c>
      <c r="J691" t="str">
        <f>IF(Table1[[#This Row],[Age]]&lt;30,"Young (&lt;30)",IF(Table1[[#This Row],[Age]]&lt;=50,"Middle Age (30-50)","Older (&gt;50)"))</f>
        <v>Middle Age (30-50)</v>
      </c>
      <c r="K691">
        <v>36</v>
      </c>
      <c r="L691">
        <v>1</v>
      </c>
    </row>
    <row r="692" spans="1:12" x14ac:dyDescent="0.3">
      <c r="A692">
        <v>9</v>
      </c>
      <c r="B692" t="str">
        <f>IF(Table1[[#This Row],[Glucose]]&lt;100,"Normal",IF(Table1[[#This Row],[Glucose]]&lt;126,"Prediabetes","High Risk"))</f>
        <v>High Risk</v>
      </c>
      <c r="C692">
        <v>164</v>
      </c>
      <c r="D692">
        <v>84</v>
      </c>
      <c r="E692">
        <v>21</v>
      </c>
      <c r="F692">
        <v>0</v>
      </c>
      <c r="G692" t="str">
        <f>IF(Table1[[#This Row],[BMI]]&lt;18.5,"Underweight",IF(Table1[[#This Row],[BMI]]&lt;25,"Normal",IF(Table1[[#This Row],[BMI]]&lt;30,"Overweight","Obese")))</f>
        <v>Obese</v>
      </c>
      <c r="H692">
        <v>30.8</v>
      </c>
      <c r="I692">
        <v>0.83099999999999996</v>
      </c>
      <c r="J692" t="str">
        <f>IF(Table1[[#This Row],[Age]]&lt;30,"Young (&lt;30)",IF(Table1[[#This Row],[Age]]&lt;=50,"Middle Age (30-50)","Older (&gt;50)"))</f>
        <v>Middle Age (30-50)</v>
      </c>
      <c r="K692">
        <v>32</v>
      </c>
      <c r="L692">
        <v>1</v>
      </c>
    </row>
    <row r="693" spans="1:12" x14ac:dyDescent="0.3">
      <c r="A693">
        <v>9</v>
      </c>
      <c r="B693" t="str">
        <f>IF(Table1[[#This Row],[Glucose]]&lt;100,"Normal",IF(Table1[[#This Row],[Glucose]]&lt;126,"Prediabetes","High Risk"))</f>
        <v>High Risk</v>
      </c>
      <c r="C693">
        <v>184</v>
      </c>
      <c r="D693">
        <v>85</v>
      </c>
      <c r="E693">
        <v>15</v>
      </c>
      <c r="F693">
        <v>0</v>
      </c>
      <c r="G693" t="str">
        <f>IF(Table1[[#This Row],[BMI]]&lt;18.5,"Underweight",IF(Table1[[#This Row],[BMI]]&lt;25,"Normal",IF(Table1[[#This Row],[BMI]]&lt;30,"Overweight","Obese")))</f>
        <v>Obese</v>
      </c>
      <c r="H693">
        <v>30</v>
      </c>
      <c r="I693">
        <v>1.2130000000000001</v>
      </c>
      <c r="J693" t="str">
        <f>IF(Table1[[#This Row],[Age]]&lt;30,"Young (&lt;30)",IF(Table1[[#This Row],[Age]]&lt;=50,"Middle Age (30-50)","Older (&gt;50)"))</f>
        <v>Middle Age (30-50)</v>
      </c>
      <c r="K693">
        <v>49</v>
      </c>
      <c r="L693">
        <v>1</v>
      </c>
    </row>
    <row r="694" spans="1:12" x14ac:dyDescent="0.3">
      <c r="A694">
        <v>9</v>
      </c>
      <c r="B694" t="str">
        <f>IF(Table1[[#This Row],[Glucose]]&lt;100,"Normal",IF(Table1[[#This Row],[Glucose]]&lt;126,"Prediabetes","High Risk"))</f>
        <v>Prediabetes</v>
      </c>
      <c r="C694">
        <v>124</v>
      </c>
      <c r="D694">
        <v>70</v>
      </c>
      <c r="E694">
        <v>33</v>
      </c>
      <c r="F694">
        <v>402</v>
      </c>
      <c r="G694" t="str">
        <f>IF(Table1[[#This Row],[BMI]]&lt;18.5,"Underweight",IF(Table1[[#This Row],[BMI]]&lt;25,"Normal",IF(Table1[[#This Row],[BMI]]&lt;30,"Overweight","Obese")))</f>
        <v>Obese</v>
      </c>
      <c r="H694">
        <v>35.4</v>
      </c>
      <c r="I694">
        <v>0.28199999999999997</v>
      </c>
      <c r="J694" t="str">
        <f>IF(Table1[[#This Row],[Age]]&lt;30,"Young (&lt;30)",IF(Table1[[#This Row],[Age]]&lt;=50,"Middle Age (30-50)","Older (&gt;50)"))</f>
        <v>Middle Age (30-50)</v>
      </c>
      <c r="K694">
        <v>34</v>
      </c>
      <c r="L694">
        <v>0</v>
      </c>
    </row>
    <row r="695" spans="1:12" x14ac:dyDescent="0.3">
      <c r="A695">
        <v>9</v>
      </c>
      <c r="B695" t="str">
        <f>IF(Table1[[#This Row],[Glucose]]&lt;100,"Normal",IF(Table1[[#This Row],[Glucose]]&lt;126,"Prediabetes","High Risk"))</f>
        <v>Prediabetes</v>
      </c>
      <c r="C695">
        <v>106</v>
      </c>
      <c r="D695">
        <v>52</v>
      </c>
      <c r="E695">
        <v>0</v>
      </c>
      <c r="F695">
        <v>0</v>
      </c>
      <c r="G695" t="str">
        <f>IF(Table1[[#This Row],[BMI]]&lt;18.5,"Underweight",IF(Table1[[#This Row],[BMI]]&lt;25,"Normal",IF(Table1[[#This Row],[BMI]]&lt;30,"Overweight","Obese")))</f>
        <v>Obese</v>
      </c>
      <c r="H695">
        <v>31.2</v>
      </c>
      <c r="I695">
        <v>0.38</v>
      </c>
      <c r="J695" t="str">
        <f>IF(Table1[[#This Row],[Age]]&lt;30,"Young (&lt;30)",IF(Table1[[#This Row],[Age]]&lt;=50,"Middle Age (30-50)","Older (&gt;50)"))</f>
        <v>Middle Age (30-50)</v>
      </c>
      <c r="K695">
        <v>42</v>
      </c>
      <c r="L695">
        <v>0</v>
      </c>
    </row>
    <row r="696" spans="1:12" x14ac:dyDescent="0.3">
      <c r="A696">
        <v>9</v>
      </c>
      <c r="B696" t="str">
        <f>IF(Table1[[#This Row],[Glucose]]&lt;100,"Normal",IF(Table1[[#This Row],[Glucose]]&lt;126,"Prediabetes","High Risk"))</f>
        <v>High Risk</v>
      </c>
      <c r="C696">
        <v>152</v>
      </c>
      <c r="D696">
        <v>78</v>
      </c>
      <c r="E696">
        <v>34</v>
      </c>
      <c r="F696">
        <v>171</v>
      </c>
      <c r="G696" t="str">
        <f>IF(Table1[[#This Row],[BMI]]&lt;18.5,"Underweight",IF(Table1[[#This Row],[BMI]]&lt;25,"Normal",IF(Table1[[#This Row],[BMI]]&lt;30,"Overweight","Obese")))</f>
        <v>Obese</v>
      </c>
      <c r="H696">
        <v>34.200000000000003</v>
      </c>
      <c r="I696">
        <v>0.89300000000000002</v>
      </c>
      <c r="J696" t="str">
        <f>IF(Table1[[#This Row],[Age]]&lt;30,"Young (&lt;30)",IF(Table1[[#This Row],[Age]]&lt;=50,"Middle Age (30-50)","Older (&gt;50)"))</f>
        <v>Middle Age (30-50)</v>
      </c>
      <c r="K696">
        <v>33</v>
      </c>
      <c r="L696">
        <v>1</v>
      </c>
    </row>
    <row r="697" spans="1:12" x14ac:dyDescent="0.3">
      <c r="A697">
        <v>9</v>
      </c>
      <c r="B697" t="str">
        <f>IF(Table1[[#This Row],[Glucose]]&lt;100,"Normal",IF(Table1[[#This Row],[Glucose]]&lt;126,"Prediabetes","High Risk"))</f>
        <v>High Risk</v>
      </c>
      <c r="C697">
        <v>165</v>
      </c>
      <c r="D697">
        <v>88</v>
      </c>
      <c r="E697">
        <v>0</v>
      </c>
      <c r="F697">
        <v>0</v>
      </c>
      <c r="G697" t="str">
        <f>IF(Table1[[#This Row],[BMI]]&lt;18.5,"Underweight",IF(Table1[[#This Row],[BMI]]&lt;25,"Normal",IF(Table1[[#This Row],[BMI]]&lt;30,"Overweight","Obese")))</f>
        <v>Obese</v>
      </c>
      <c r="H697">
        <v>30.4</v>
      </c>
      <c r="I697">
        <v>0.30199999999999999</v>
      </c>
      <c r="J697" t="str">
        <f>IF(Table1[[#This Row],[Age]]&lt;30,"Young (&lt;30)",IF(Table1[[#This Row],[Age]]&lt;=50,"Middle Age (30-50)","Older (&gt;50)"))</f>
        <v>Middle Age (30-50)</v>
      </c>
      <c r="K697">
        <v>49</v>
      </c>
      <c r="L697">
        <v>1</v>
      </c>
    </row>
    <row r="698" spans="1:12" x14ac:dyDescent="0.3">
      <c r="A698">
        <v>9</v>
      </c>
      <c r="B698" t="str">
        <f>IF(Table1[[#This Row],[Glucose]]&lt;100,"Normal",IF(Table1[[#This Row],[Glucose]]&lt;126,"Prediabetes","High Risk"))</f>
        <v>Normal</v>
      </c>
      <c r="C698">
        <v>72</v>
      </c>
      <c r="D698">
        <v>78</v>
      </c>
      <c r="E698">
        <v>25</v>
      </c>
      <c r="F698">
        <v>0</v>
      </c>
      <c r="G698" t="str">
        <f>IF(Table1[[#This Row],[BMI]]&lt;18.5,"Underweight",IF(Table1[[#This Row],[BMI]]&lt;25,"Normal",IF(Table1[[#This Row],[BMI]]&lt;30,"Overweight","Obese")))</f>
        <v>Obese</v>
      </c>
      <c r="H698">
        <v>31.6</v>
      </c>
      <c r="I698">
        <v>0.28000000000000003</v>
      </c>
      <c r="J698" t="str">
        <f>IF(Table1[[#This Row],[Age]]&lt;30,"Young (&lt;30)",IF(Table1[[#This Row],[Age]]&lt;=50,"Middle Age (30-50)","Older (&gt;50)"))</f>
        <v>Middle Age (30-50)</v>
      </c>
      <c r="K698">
        <v>38</v>
      </c>
      <c r="L698">
        <v>0</v>
      </c>
    </row>
    <row r="699" spans="1:12" x14ac:dyDescent="0.3">
      <c r="A699">
        <v>9</v>
      </c>
      <c r="B699" t="str">
        <f>IF(Table1[[#This Row],[Glucose]]&lt;100,"Normal",IF(Table1[[#This Row],[Glucose]]&lt;126,"Prediabetes","High Risk"))</f>
        <v>High Risk</v>
      </c>
      <c r="C699">
        <v>134</v>
      </c>
      <c r="D699">
        <v>74</v>
      </c>
      <c r="E699">
        <v>33</v>
      </c>
      <c r="F699">
        <v>60</v>
      </c>
      <c r="G699" t="str">
        <f>IF(Table1[[#This Row],[BMI]]&lt;18.5,"Underweight",IF(Table1[[#This Row],[BMI]]&lt;25,"Normal",IF(Table1[[#This Row],[BMI]]&lt;30,"Overweight","Obese")))</f>
        <v>Overweight</v>
      </c>
      <c r="H699">
        <v>25.9</v>
      </c>
      <c r="I699">
        <v>0.46</v>
      </c>
      <c r="J699" t="str">
        <f>IF(Table1[[#This Row],[Age]]&lt;30,"Young (&lt;30)",IF(Table1[[#This Row],[Age]]&lt;=50,"Middle Age (30-50)","Older (&gt;50)"))</f>
        <v>Older (&gt;50)</v>
      </c>
      <c r="K699">
        <v>81</v>
      </c>
      <c r="L699">
        <v>0</v>
      </c>
    </row>
    <row r="700" spans="1:12" x14ac:dyDescent="0.3">
      <c r="A700">
        <v>9</v>
      </c>
      <c r="B700" t="str">
        <f>IF(Table1[[#This Row],[Glucose]]&lt;100,"Normal",IF(Table1[[#This Row],[Glucose]]&lt;126,"Prediabetes","High Risk"))</f>
        <v>Prediabetes</v>
      </c>
      <c r="C700">
        <v>120</v>
      </c>
      <c r="D700">
        <v>72</v>
      </c>
      <c r="E700">
        <v>22</v>
      </c>
      <c r="F700">
        <v>56</v>
      </c>
      <c r="G700" t="str">
        <f>IF(Table1[[#This Row],[BMI]]&lt;18.5,"Underweight",IF(Table1[[#This Row],[BMI]]&lt;25,"Normal",IF(Table1[[#This Row],[BMI]]&lt;30,"Overweight","Obese")))</f>
        <v>Normal</v>
      </c>
      <c r="H700">
        <v>20.8</v>
      </c>
      <c r="I700">
        <v>0.73299999999999998</v>
      </c>
      <c r="J700" t="str">
        <f>IF(Table1[[#This Row],[Age]]&lt;30,"Young (&lt;30)",IF(Table1[[#This Row],[Age]]&lt;=50,"Middle Age (30-50)","Older (&gt;50)"))</f>
        <v>Middle Age (30-50)</v>
      </c>
      <c r="K700">
        <v>48</v>
      </c>
      <c r="L700">
        <v>0</v>
      </c>
    </row>
    <row r="701" spans="1:12" x14ac:dyDescent="0.3">
      <c r="A701">
        <v>9</v>
      </c>
      <c r="B701" t="str">
        <f>IF(Table1[[#This Row],[Glucose]]&lt;100,"Normal",IF(Table1[[#This Row],[Glucose]]&lt;126,"Prediabetes","High Risk"))</f>
        <v>Normal</v>
      </c>
      <c r="C701">
        <v>91</v>
      </c>
      <c r="D701">
        <v>68</v>
      </c>
      <c r="E701">
        <v>0</v>
      </c>
      <c r="F701">
        <v>0</v>
      </c>
      <c r="G701" t="str">
        <f>IF(Table1[[#This Row],[BMI]]&lt;18.5,"Underweight",IF(Table1[[#This Row],[BMI]]&lt;25,"Normal",IF(Table1[[#This Row],[BMI]]&lt;30,"Overweight","Obese")))</f>
        <v>Normal</v>
      </c>
      <c r="H701">
        <v>24.2</v>
      </c>
      <c r="I701">
        <v>0.2</v>
      </c>
      <c r="J701" t="str">
        <f>IF(Table1[[#This Row],[Age]]&lt;30,"Young (&lt;30)",IF(Table1[[#This Row],[Age]]&lt;=50,"Middle Age (30-50)","Older (&gt;50)"))</f>
        <v>Older (&gt;50)</v>
      </c>
      <c r="K701">
        <v>58</v>
      </c>
      <c r="L701">
        <v>0</v>
      </c>
    </row>
    <row r="702" spans="1:12" x14ac:dyDescent="0.3">
      <c r="A702">
        <v>9</v>
      </c>
      <c r="B702" t="str">
        <f>IF(Table1[[#This Row],[Glucose]]&lt;100,"Normal",IF(Table1[[#This Row],[Glucose]]&lt;126,"Prediabetes","High Risk"))</f>
        <v>High Risk</v>
      </c>
      <c r="C702">
        <v>145</v>
      </c>
      <c r="D702">
        <v>88</v>
      </c>
      <c r="E702">
        <v>34</v>
      </c>
      <c r="F702">
        <v>165</v>
      </c>
      <c r="G702" t="str">
        <f>IF(Table1[[#This Row],[BMI]]&lt;18.5,"Underweight",IF(Table1[[#This Row],[BMI]]&lt;25,"Normal",IF(Table1[[#This Row],[BMI]]&lt;30,"Overweight","Obese")))</f>
        <v>Obese</v>
      </c>
      <c r="H702">
        <v>30.3</v>
      </c>
      <c r="I702">
        <v>0.77100000000000002</v>
      </c>
      <c r="J702" t="str">
        <f>IF(Table1[[#This Row],[Age]]&lt;30,"Young (&lt;30)",IF(Table1[[#This Row],[Age]]&lt;=50,"Middle Age (30-50)","Older (&gt;50)"))</f>
        <v>Older (&gt;50)</v>
      </c>
      <c r="K702">
        <v>53</v>
      </c>
      <c r="L702">
        <v>1</v>
      </c>
    </row>
    <row r="703" spans="1:12" x14ac:dyDescent="0.3">
      <c r="A703">
        <v>9</v>
      </c>
      <c r="B703" t="str">
        <f>IF(Table1[[#This Row],[Glucose]]&lt;100,"Normal",IF(Table1[[#This Row],[Glucose]]&lt;126,"Prediabetes","High Risk"))</f>
        <v>High Risk</v>
      </c>
      <c r="C703">
        <v>130</v>
      </c>
      <c r="D703">
        <v>70</v>
      </c>
      <c r="E703">
        <v>0</v>
      </c>
      <c r="F703">
        <v>0</v>
      </c>
      <c r="G703" t="str">
        <f>IF(Table1[[#This Row],[BMI]]&lt;18.5,"Underweight",IF(Table1[[#This Row],[BMI]]&lt;25,"Normal",IF(Table1[[#This Row],[BMI]]&lt;30,"Overweight","Obese")))</f>
        <v>Obese</v>
      </c>
      <c r="H703">
        <v>34.200000000000003</v>
      </c>
      <c r="I703">
        <v>0.65200000000000002</v>
      </c>
      <c r="J703" t="str">
        <f>IF(Table1[[#This Row],[Age]]&lt;30,"Young (&lt;30)",IF(Table1[[#This Row],[Age]]&lt;=50,"Middle Age (30-50)","Older (&gt;50)"))</f>
        <v>Middle Age (30-50)</v>
      </c>
      <c r="K703">
        <v>45</v>
      </c>
      <c r="L703">
        <v>1</v>
      </c>
    </row>
    <row r="704" spans="1:12" x14ac:dyDescent="0.3">
      <c r="A704">
        <v>9</v>
      </c>
      <c r="B704" t="str">
        <f>IF(Table1[[#This Row],[Glucose]]&lt;100,"Normal",IF(Table1[[#This Row],[Glucose]]&lt;126,"Prediabetes","High Risk"))</f>
        <v>Prediabetes</v>
      </c>
      <c r="C704">
        <v>112</v>
      </c>
      <c r="D704">
        <v>82</v>
      </c>
      <c r="E704">
        <v>24</v>
      </c>
      <c r="F704">
        <v>0</v>
      </c>
      <c r="G704" t="str">
        <f>IF(Table1[[#This Row],[BMI]]&lt;18.5,"Underweight",IF(Table1[[#This Row],[BMI]]&lt;25,"Normal",IF(Table1[[#This Row],[BMI]]&lt;30,"Overweight","Obese")))</f>
        <v>Overweight</v>
      </c>
      <c r="H704">
        <v>28.2</v>
      </c>
      <c r="I704">
        <v>1.282</v>
      </c>
      <c r="J704" t="str">
        <f>IF(Table1[[#This Row],[Age]]&lt;30,"Young (&lt;30)",IF(Table1[[#This Row],[Age]]&lt;=50,"Middle Age (30-50)","Older (&gt;50)"))</f>
        <v>Middle Age (30-50)</v>
      </c>
      <c r="K704">
        <v>50</v>
      </c>
      <c r="L704">
        <v>1</v>
      </c>
    </row>
    <row r="705" spans="1:12" x14ac:dyDescent="0.3">
      <c r="A705">
        <v>9</v>
      </c>
      <c r="B705" t="str">
        <f>IF(Table1[[#This Row],[Glucose]]&lt;100,"Normal",IF(Table1[[#This Row],[Glucose]]&lt;126,"Prediabetes","High Risk"))</f>
        <v>High Risk</v>
      </c>
      <c r="C705">
        <v>145</v>
      </c>
      <c r="D705">
        <v>80</v>
      </c>
      <c r="E705">
        <v>46</v>
      </c>
      <c r="F705">
        <v>130</v>
      </c>
      <c r="G705" t="str">
        <f>IF(Table1[[#This Row],[BMI]]&lt;18.5,"Underweight",IF(Table1[[#This Row],[BMI]]&lt;25,"Normal",IF(Table1[[#This Row],[BMI]]&lt;30,"Overweight","Obese")))</f>
        <v>Obese</v>
      </c>
      <c r="H705">
        <v>37.9</v>
      </c>
      <c r="I705">
        <v>0.63700000000000001</v>
      </c>
      <c r="J705" t="str">
        <f>IF(Table1[[#This Row],[Age]]&lt;30,"Young (&lt;30)",IF(Table1[[#This Row],[Age]]&lt;=50,"Middle Age (30-50)","Older (&gt;50)"))</f>
        <v>Middle Age (30-50)</v>
      </c>
      <c r="K705">
        <v>40</v>
      </c>
      <c r="L705">
        <v>1</v>
      </c>
    </row>
    <row r="706" spans="1:12" x14ac:dyDescent="0.3">
      <c r="A706">
        <v>9</v>
      </c>
      <c r="B706" t="str">
        <f>IF(Table1[[#This Row],[Glucose]]&lt;100,"Normal",IF(Table1[[#This Row],[Glucose]]&lt;126,"Prediabetes","High Risk"))</f>
        <v>High Risk</v>
      </c>
      <c r="C706">
        <v>154</v>
      </c>
      <c r="D706">
        <v>78</v>
      </c>
      <c r="E706">
        <v>30</v>
      </c>
      <c r="F706">
        <v>100</v>
      </c>
      <c r="G706" t="str">
        <f>IF(Table1[[#This Row],[BMI]]&lt;18.5,"Underweight",IF(Table1[[#This Row],[BMI]]&lt;25,"Normal",IF(Table1[[#This Row],[BMI]]&lt;30,"Overweight","Obese")))</f>
        <v>Obese</v>
      </c>
      <c r="H706">
        <v>30.9</v>
      </c>
      <c r="I706">
        <v>0.16400000000000001</v>
      </c>
      <c r="J706" t="str">
        <f>IF(Table1[[#This Row],[Age]]&lt;30,"Young (&lt;30)",IF(Table1[[#This Row],[Age]]&lt;=50,"Middle Age (30-50)","Older (&gt;50)"))</f>
        <v>Middle Age (30-50)</v>
      </c>
      <c r="K706">
        <v>45</v>
      </c>
      <c r="L706">
        <v>0</v>
      </c>
    </row>
    <row r="707" spans="1:12" x14ac:dyDescent="0.3">
      <c r="A707">
        <v>9</v>
      </c>
      <c r="B707" t="str">
        <f>IF(Table1[[#This Row],[Glucose]]&lt;100,"Normal",IF(Table1[[#This Row],[Glucose]]&lt;126,"Prediabetes","High Risk"))</f>
        <v>High Risk</v>
      </c>
      <c r="C707">
        <v>156</v>
      </c>
      <c r="D707">
        <v>86</v>
      </c>
      <c r="E707">
        <v>0</v>
      </c>
      <c r="F707">
        <v>0</v>
      </c>
      <c r="G707" t="str">
        <f>IF(Table1[[#This Row],[BMI]]&lt;18.5,"Underweight",IF(Table1[[#This Row],[BMI]]&lt;25,"Normal",IF(Table1[[#This Row],[BMI]]&lt;30,"Overweight","Obese")))</f>
        <v>Normal</v>
      </c>
      <c r="H707">
        <v>24.8</v>
      </c>
      <c r="I707">
        <v>0.23</v>
      </c>
      <c r="J707" t="str">
        <f>IF(Table1[[#This Row],[Age]]&lt;30,"Young (&lt;30)",IF(Table1[[#This Row],[Age]]&lt;=50,"Middle Age (30-50)","Older (&gt;50)"))</f>
        <v>Older (&gt;50)</v>
      </c>
      <c r="K707">
        <v>53</v>
      </c>
      <c r="L707">
        <v>1</v>
      </c>
    </row>
    <row r="708" spans="1:12" x14ac:dyDescent="0.3">
      <c r="A708">
        <v>9</v>
      </c>
      <c r="B708" t="str">
        <f>IF(Table1[[#This Row],[Glucose]]&lt;100,"Normal",IF(Table1[[#This Row],[Glucose]]&lt;126,"Prediabetes","High Risk"))</f>
        <v>High Risk</v>
      </c>
      <c r="C708">
        <v>164</v>
      </c>
      <c r="D708">
        <v>78</v>
      </c>
      <c r="E708">
        <v>0</v>
      </c>
      <c r="F708">
        <v>0</v>
      </c>
      <c r="G708" t="str">
        <f>IF(Table1[[#This Row],[BMI]]&lt;18.5,"Underweight",IF(Table1[[#This Row],[BMI]]&lt;25,"Normal",IF(Table1[[#This Row],[BMI]]&lt;30,"Overweight","Obese")))</f>
        <v>Obese</v>
      </c>
      <c r="H708">
        <v>32.799999999999997</v>
      </c>
      <c r="I708">
        <v>0.14799999999999999</v>
      </c>
      <c r="J708" t="str">
        <f>IF(Table1[[#This Row],[Age]]&lt;30,"Young (&lt;30)",IF(Table1[[#This Row],[Age]]&lt;=50,"Middle Age (30-50)","Older (&gt;50)"))</f>
        <v>Middle Age (30-50)</v>
      </c>
      <c r="K708">
        <v>45</v>
      </c>
      <c r="L708">
        <v>1</v>
      </c>
    </row>
    <row r="709" spans="1:12" x14ac:dyDescent="0.3">
      <c r="A709">
        <v>9</v>
      </c>
      <c r="B709" t="str">
        <f>IF(Table1[[#This Row],[Glucose]]&lt;100,"Normal",IF(Table1[[#This Row],[Glucose]]&lt;126,"Prediabetes","High Risk"))</f>
        <v>High Risk</v>
      </c>
      <c r="C709">
        <v>140</v>
      </c>
      <c r="D709">
        <v>94</v>
      </c>
      <c r="E709">
        <v>0</v>
      </c>
      <c r="F709">
        <v>0</v>
      </c>
      <c r="G709" t="str">
        <f>IF(Table1[[#This Row],[BMI]]&lt;18.5,"Underweight",IF(Table1[[#This Row],[BMI]]&lt;25,"Normal",IF(Table1[[#This Row],[BMI]]&lt;30,"Overweight","Obese")))</f>
        <v>Obese</v>
      </c>
      <c r="H709">
        <v>32.700000000000003</v>
      </c>
      <c r="I709">
        <v>0.73399999999999999</v>
      </c>
      <c r="J709" t="str">
        <f>IF(Table1[[#This Row],[Age]]&lt;30,"Young (&lt;30)",IF(Table1[[#This Row],[Age]]&lt;=50,"Middle Age (30-50)","Older (&gt;50)"))</f>
        <v>Middle Age (30-50)</v>
      </c>
      <c r="K709">
        <v>45</v>
      </c>
      <c r="L709">
        <v>1</v>
      </c>
    </row>
    <row r="710" spans="1:12" x14ac:dyDescent="0.3">
      <c r="A710">
        <v>9</v>
      </c>
      <c r="B710" t="str">
        <f>IF(Table1[[#This Row],[Glucose]]&lt;100,"Normal",IF(Table1[[#This Row],[Glucose]]&lt;126,"Prediabetes","High Risk"))</f>
        <v>High Risk</v>
      </c>
      <c r="C710">
        <v>170</v>
      </c>
      <c r="D710">
        <v>74</v>
      </c>
      <c r="E710">
        <v>31</v>
      </c>
      <c r="F710">
        <v>0</v>
      </c>
      <c r="G710" t="str">
        <f>IF(Table1[[#This Row],[BMI]]&lt;18.5,"Underweight",IF(Table1[[#This Row],[BMI]]&lt;25,"Normal",IF(Table1[[#This Row],[BMI]]&lt;30,"Overweight","Obese")))</f>
        <v>Obese</v>
      </c>
      <c r="H710">
        <v>44</v>
      </c>
      <c r="I710">
        <v>0.40300000000000002</v>
      </c>
      <c r="J710" t="str">
        <f>IF(Table1[[#This Row],[Age]]&lt;30,"Young (&lt;30)",IF(Table1[[#This Row],[Age]]&lt;=50,"Middle Age (30-50)","Older (&gt;50)"))</f>
        <v>Middle Age (30-50)</v>
      </c>
      <c r="K710">
        <v>43</v>
      </c>
      <c r="L710">
        <v>1</v>
      </c>
    </row>
    <row r="711" spans="1:12" x14ac:dyDescent="0.3">
      <c r="A711">
        <v>9</v>
      </c>
      <c r="B711" t="str">
        <f>IF(Table1[[#This Row],[Glucose]]&lt;100,"Normal",IF(Table1[[#This Row],[Glucose]]&lt;126,"Prediabetes","High Risk"))</f>
        <v>Normal</v>
      </c>
      <c r="C711">
        <v>89</v>
      </c>
      <c r="D711">
        <v>62</v>
      </c>
      <c r="E711">
        <v>0</v>
      </c>
      <c r="F711">
        <v>0</v>
      </c>
      <c r="G711" t="str">
        <f>IF(Table1[[#This Row],[BMI]]&lt;18.5,"Underweight",IF(Table1[[#This Row],[BMI]]&lt;25,"Normal",IF(Table1[[#This Row],[BMI]]&lt;30,"Overweight","Obese")))</f>
        <v>Normal</v>
      </c>
      <c r="H711">
        <v>22.5</v>
      </c>
      <c r="I711">
        <v>0.14199999999999999</v>
      </c>
      <c r="J711" t="str">
        <f>IF(Table1[[#This Row],[Age]]&lt;30,"Young (&lt;30)",IF(Table1[[#This Row],[Age]]&lt;=50,"Middle Age (30-50)","Older (&gt;50)"))</f>
        <v>Middle Age (30-50)</v>
      </c>
      <c r="K711">
        <v>33</v>
      </c>
      <c r="L711">
        <v>0</v>
      </c>
    </row>
    <row r="712" spans="1:12" x14ac:dyDescent="0.3">
      <c r="A712">
        <v>10</v>
      </c>
      <c r="B712" t="str">
        <f>IF(Table1[[#This Row],[Glucose]]&lt;100,"Normal",IF(Table1[[#This Row],[Glucose]]&lt;126,"Prediabetes","High Risk"))</f>
        <v>Prediabetes</v>
      </c>
      <c r="C712">
        <v>115</v>
      </c>
      <c r="D712">
        <v>0</v>
      </c>
      <c r="E712">
        <v>0</v>
      </c>
      <c r="F712">
        <v>0</v>
      </c>
      <c r="G712" t="str">
        <f>IF(Table1[[#This Row],[BMI]]&lt;18.5,"Underweight",IF(Table1[[#This Row],[BMI]]&lt;25,"Normal",IF(Table1[[#This Row],[BMI]]&lt;30,"Overweight","Obese")))</f>
        <v>Obese</v>
      </c>
      <c r="H712">
        <v>35.299999999999997</v>
      </c>
      <c r="I712">
        <v>0.13400000000000001</v>
      </c>
      <c r="J712" t="str">
        <f>IF(Table1[[#This Row],[Age]]&lt;30,"Young (&lt;30)",IF(Table1[[#This Row],[Age]]&lt;=50,"Middle Age (30-50)","Older (&gt;50)"))</f>
        <v>Young (&lt;30)</v>
      </c>
      <c r="K712">
        <v>29</v>
      </c>
      <c r="L712">
        <v>0</v>
      </c>
    </row>
    <row r="713" spans="1:12" x14ac:dyDescent="0.3">
      <c r="A713">
        <v>10</v>
      </c>
      <c r="B713" t="str">
        <f>IF(Table1[[#This Row],[Glucose]]&lt;100,"Normal",IF(Table1[[#This Row],[Glucose]]&lt;126,"Prediabetes","High Risk"))</f>
        <v>High Risk</v>
      </c>
      <c r="C713">
        <v>168</v>
      </c>
      <c r="D713">
        <v>74</v>
      </c>
      <c r="E713">
        <v>0</v>
      </c>
      <c r="F713">
        <v>0</v>
      </c>
      <c r="G713" t="str">
        <f>IF(Table1[[#This Row],[BMI]]&lt;18.5,"Underweight",IF(Table1[[#This Row],[BMI]]&lt;25,"Normal",IF(Table1[[#This Row],[BMI]]&lt;30,"Overweight","Obese")))</f>
        <v>Obese</v>
      </c>
      <c r="H713">
        <v>38</v>
      </c>
      <c r="I713">
        <v>0.53700000000000003</v>
      </c>
      <c r="J713" t="str">
        <f>IF(Table1[[#This Row],[Age]]&lt;30,"Young (&lt;30)",IF(Table1[[#This Row],[Age]]&lt;=50,"Middle Age (30-50)","Older (&gt;50)"))</f>
        <v>Middle Age (30-50)</v>
      </c>
      <c r="K713">
        <v>34</v>
      </c>
      <c r="L713">
        <v>1</v>
      </c>
    </row>
    <row r="714" spans="1:12" x14ac:dyDescent="0.3">
      <c r="A714">
        <v>10</v>
      </c>
      <c r="B714" t="str">
        <f>IF(Table1[[#This Row],[Glucose]]&lt;100,"Normal",IF(Table1[[#This Row],[Glucose]]&lt;126,"Prediabetes","High Risk"))</f>
        <v>High Risk</v>
      </c>
      <c r="C714">
        <v>139</v>
      </c>
      <c r="D714">
        <v>80</v>
      </c>
      <c r="E714">
        <v>0</v>
      </c>
      <c r="F714">
        <v>0</v>
      </c>
      <c r="G714" t="str">
        <f>IF(Table1[[#This Row],[BMI]]&lt;18.5,"Underweight",IF(Table1[[#This Row],[BMI]]&lt;25,"Normal",IF(Table1[[#This Row],[BMI]]&lt;30,"Overweight","Obese")))</f>
        <v>Overweight</v>
      </c>
      <c r="H714">
        <v>27.1</v>
      </c>
      <c r="I714">
        <v>1.4410000000000001</v>
      </c>
      <c r="J714" t="str">
        <f>IF(Table1[[#This Row],[Age]]&lt;30,"Young (&lt;30)",IF(Table1[[#This Row],[Age]]&lt;=50,"Middle Age (30-50)","Older (&gt;50)"))</f>
        <v>Older (&gt;50)</v>
      </c>
      <c r="K714">
        <v>57</v>
      </c>
      <c r="L714">
        <v>0</v>
      </c>
    </row>
    <row r="715" spans="1:12" x14ac:dyDescent="0.3">
      <c r="A715">
        <v>10</v>
      </c>
      <c r="B715" t="str">
        <f>IF(Table1[[#This Row],[Glucose]]&lt;100,"Normal",IF(Table1[[#This Row],[Glucose]]&lt;126,"Prediabetes","High Risk"))</f>
        <v>Prediabetes</v>
      </c>
      <c r="C715">
        <v>125</v>
      </c>
      <c r="D715">
        <v>70</v>
      </c>
      <c r="E715">
        <v>26</v>
      </c>
      <c r="F715">
        <v>115</v>
      </c>
      <c r="G715" t="str">
        <f>IF(Table1[[#This Row],[BMI]]&lt;18.5,"Underweight",IF(Table1[[#This Row],[BMI]]&lt;25,"Normal",IF(Table1[[#This Row],[BMI]]&lt;30,"Overweight","Obese")))</f>
        <v>Obese</v>
      </c>
      <c r="H715">
        <v>31.1</v>
      </c>
      <c r="I715">
        <v>0.20499999999999999</v>
      </c>
      <c r="J715" t="str">
        <f>IF(Table1[[#This Row],[Age]]&lt;30,"Young (&lt;30)",IF(Table1[[#This Row],[Age]]&lt;=50,"Middle Age (30-50)","Older (&gt;50)"))</f>
        <v>Middle Age (30-50)</v>
      </c>
      <c r="K715">
        <v>41</v>
      </c>
      <c r="L715">
        <v>1</v>
      </c>
    </row>
    <row r="716" spans="1:12" x14ac:dyDescent="0.3">
      <c r="A716">
        <v>10</v>
      </c>
      <c r="B716" t="str">
        <f>IF(Table1[[#This Row],[Glucose]]&lt;100,"Normal",IF(Table1[[#This Row],[Glucose]]&lt;126,"Prediabetes","High Risk"))</f>
        <v>Prediabetes</v>
      </c>
      <c r="C716">
        <v>122</v>
      </c>
      <c r="D716">
        <v>78</v>
      </c>
      <c r="E716">
        <v>31</v>
      </c>
      <c r="F716">
        <v>0</v>
      </c>
      <c r="G716" t="str">
        <f>IF(Table1[[#This Row],[BMI]]&lt;18.5,"Underweight",IF(Table1[[#This Row],[BMI]]&lt;25,"Normal",IF(Table1[[#This Row],[BMI]]&lt;30,"Overweight","Obese")))</f>
        <v>Overweight</v>
      </c>
      <c r="H716">
        <v>27.6</v>
      </c>
      <c r="I716">
        <v>0.51200000000000001</v>
      </c>
      <c r="J716" t="str">
        <f>IF(Table1[[#This Row],[Age]]&lt;30,"Young (&lt;30)",IF(Table1[[#This Row],[Age]]&lt;=50,"Middle Age (30-50)","Older (&gt;50)"))</f>
        <v>Middle Age (30-50)</v>
      </c>
      <c r="K716">
        <v>45</v>
      </c>
      <c r="L716">
        <v>0</v>
      </c>
    </row>
    <row r="717" spans="1:12" x14ac:dyDescent="0.3">
      <c r="A717">
        <v>10</v>
      </c>
      <c r="B717" t="str">
        <f>IF(Table1[[#This Row],[Glucose]]&lt;100,"Normal",IF(Table1[[#This Row],[Glucose]]&lt;126,"Prediabetes","High Risk"))</f>
        <v>Prediabetes</v>
      </c>
      <c r="C717">
        <v>108</v>
      </c>
      <c r="D717">
        <v>66</v>
      </c>
      <c r="E717">
        <v>0</v>
      </c>
      <c r="F717">
        <v>0</v>
      </c>
      <c r="G717" t="str">
        <f>IF(Table1[[#This Row],[BMI]]&lt;18.5,"Underweight",IF(Table1[[#This Row],[BMI]]&lt;25,"Normal",IF(Table1[[#This Row],[BMI]]&lt;30,"Overweight","Obese")))</f>
        <v>Obese</v>
      </c>
      <c r="H717">
        <v>32.4</v>
      </c>
      <c r="I717">
        <v>0.27200000000000002</v>
      </c>
      <c r="J717" t="str">
        <f>IF(Table1[[#This Row],[Age]]&lt;30,"Young (&lt;30)",IF(Table1[[#This Row],[Age]]&lt;=50,"Middle Age (30-50)","Older (&gt;50)"))</f>
        <v>Middle Age (30-50)</v>
      </c>
      <c r="K717">
        <v>42</v>
      </c>
      <c r="L717">
        <v>1</v>
      </c>
    </row>
    <row r="718" spans="1:12" x14ac:dyDescent="0.3">
      <c r="A718">
        <v>10</v>
      </c>
      <c r="B718" t="str">
        <f>IF(Table1[[#This Row],[Glucose]]&lt;100,"Normal",IF(Table1[[#This Row],[Glucose]]&lt;126,"Prediabetes","High Risk"))</f>
        <v>Prediabetes</v>
      </c>
      <c r="C718">
        <v>122</v>
      </c>
      <c r="D718">
        <v>68</v>
      </c>
      <c r="E718">
        <v>0</v>
      </c>
      <c r="F718">
        <v>0</v>
      </c>
      <c r="G718" t="str">
        <f>IF(Table1[[#This Row],[BMI]]&lt;18.5,"Underweight",IF(Table1[[#This Row],[BMI]]&lt;25,"Normal",IF(Table1[[#This Row],[BMI]]&lt;30,"Overweight","Obese")))</f>
        <v>Obese</v>
      </c>
      <c r="H718">
        <v>31.2</v>
      </c>
      <c r="I718">
        <v>0.25800000000000001</v>
      </c>
      <c r="J718" t="str">
        <f>IF(Table1[[#This Row],[Age]]&lt;30,"Young (&lt;30)",IF(Table1[[#This Row],[Age]]&lt;=50,"Middle Age (30-50)","Older (&gt;50)"))</f>
        <v>Middle Age (30-50)</v>
      </c>
      <c r="K718">
        <v>41</v>
      </c>
      <c r="L718">
        <v>0</v>
      </c>
    </row>
    <row r="719" spans="1:12" x14ac:dyDescent="0.3">
      <c r="A719">
        <v>10</v>
      </c>
      <c r="B719" t="str">
        <f>IF(Table1[[#This Row],[Glucose]]&lt;100,"Normal",IF(Table1[[#This Row],[Glucose]]&lt;126,"Prediabetes","High Risk"))</f>
        <v>Prediabetes</v>
      </c>
      <c r="C719">
        <v>101</v>
      </c>
      <c r="D719">
        <v>86</v>
      </c>
      <c r="E719">
        <v>37</v>
      </c>
      <c r="F719">
        <v>0</v>
      </c>
      <c r="G719" t="str">
        <f>IF(Table1[[#This Row],[BMI]]&lt;18.5,"Underweight",IF(Table1[[#This Row],[BMI]]&lt;25,"Normal",IF(Table1[[#This Row],[BMI]]&lt;30,"Overweight","Obese")))</f>
        <v>Obese</v>
      </c>
      <c r="H719">
        <v>45.6</v>
      </c>
      <c r="I719">
        <v>1.1359999999999999</v>
      </c>
      <c r="J719" t="str">
        <f>IF(Table1[[#This Row],[Age]]&lt;30,"Young (&lt;30)",IF(Table1[[#This Row],[Age]]&lt;=50,"Middle Age (30-50)","Older (&gt;50)"))</f>
        <v>Middle Age (30-50)</v>
      </c>
      <c r="K719">
        <v>38</v>
      </c>
      <c r="L719">
        <v>1</v>
      </c>
    </row>
    <row r="720" spans="1:12" x14ac:dyDescent="0.3">
      <c r="A720">
        <v>10</v>
      </c>
      <c r="B720" t="str">
        <f>IF(Table1[[#This Row],[Glucose]]&lt;100,"Normal",IF(Table1[[#This Row],[Glucose]]&lt;126,"Prediabetes","High Risk"))</f>
        <v>High Risk</v>
      </c>
      <c r="C720">
        <v>129</v>
      </c>
      <c r="D720">
        <v>76</v>
      </c>
      <c r="E720">
        <v>28</v>
      </c>
      <c r="F720">
        <v>122</v>
      </c>
      <c r="G720" t="str">
        <f>IF(Table1[[#This Row],[BMI]]&lt;18.5,"Underweight",IF(Table1[[#This Row],[BMI]]&lt;25,"Normal",IF(Table1[[#This Row],[BMI]]&lt;30,"Overweight","Obese")))</f>
        <v>Obese</v>
      </c>
      <c r="H720">
        <v>35.9</v>
      </c>
      <c r="I720">
        <v>0.28000000000000003</v>
      </c>
      <c r="J720" t="str">
        <f>IF(Table1[[#This Row],[Age]]&lt;30,"Young (&lt;30)",IF(Table1[[#This Row],[Age]]&lt;=50,"Middle Age (30-50)","Older (&gt;50)"))</f>
        <v>Middle Age (30-50)</v>
      </c>
      <c r="K720">
        <v>39</v>
      </c>
      <c r="L720">
        <v>0</v>
      </c>
    </row>
    <row r="721" spans="1:12" x14ac:dyDescent="0.3">
      <c r="A721">
        <v>10</v>
      </c>
      <c r="B721" t="str">
        <f>IF(Table1[[#This Row],[Glucose]]&lt;100,"Normal",IF(Table1[[#This Row],[Glucose]]&lt;126,"Prediabetes","High Risk"))</f>
        <v>High Risk</v>
      </c>
      <c r="C721">
        <v>161</v>
      </c>
      <c r="D721">
        <v>68</v>
      </c>
      <c r="E721">
        <v>23</v>
      </c>
      <c r="F721">
        <v>132</v>
      </c>
      <c r="G721" t="str">
        <f>IF(Table1[[#This Row],[BMI]]&lt;18.5,"Underweight",IF(Table1[[#This Row],[BMI]]&lt;25,"Normal",IF(Table1[[#This Row],[BMI]]&lt;30,"Overweight","Obese")))</f>
        <v>Overweight</v>
      </c>
      <c r="H721">
        <v>25.5</v>
      </c>
      <c r="I721">
        <v>0.32600000000000001</v>
      </c>
      <c r="J721" t="str">
        <f>IF(Table1[[#This Row],[Age]]&lt;30,"Young (&lt;30)",IF(Table1[[#This Row],[Age]]&lt;=50,"Middle Age (30-50)","Older (&gt;50)"))</f>
        <v>Middle Age (30-50)</v>
      </c>
      <c r="K721">
        <v>47</v>
      </c>
      <c r="L721">
        <v>1</v>
      </c>
    </row>
    <row r="722" spans="1:12" x14ac:dyDescent="0.3">
      <c r="A722">
        <v>10</v>
      </c>
      <c r="B722" t="str">
        <f>IF(Table1[[#This Row],[Glucose]]&lt;100,"Normal",IF(Table1[[#This Row],[Glucose]]&lt;126,"Prediabetes","High Risk"))</f>
        <v>High Risk</v>
      </c>
      <c r="C722">
        <v>179</v>
      </c>
      <c r="D722">
        <v>70</v>
      </c>
      <c r="E722">
        <v>0</v>
      </c>
      <c r="F722">
        <v>0</v>
      </c>
      <c r="G722" t="str">
        <f>IF(Table1[[#This Row],[BMI]]&lt;18.5,"Underweight",IF(Table1[[#This Row],[BMI]]&lt;25,"Normal",IF(Table1[[#This Row],[BMI]]&lt;30,"Overweight","Obese")))</f>
        <v>Obese</v>
      </c>
      <c r="H722">
        <v>35.1</v>
      </c>
      <c r="I722">
        <v>0.2</v>
      </c>
      <c r="J722" t="str">
        <f>IF(Table1[[#This Row],[Age]]&lt;30,"Young (&lt;30)",IF(Table1[[#This Row],[Age]]&lt;=50,"Middle Age (30-50)","Older (&gt;50)"))</f>
        <v>Middle Age (30-50)</v>
      </c>
      <c r="K722">
        <v>37</v>
      </c>
      <c r="L722">
        <v>0</v>
      </c>
    </row>
    <row r="723" spans="1:12" x14ac:dyDescent="0.3">
      <c r="A723">
        <v>10</v>
      </c>
      <c r="B723" t="str">
        <f>IF(Table1[[#This Row],[Glucose]]&lt;100,"Normal",IF(Table1[[#This Row],[Glucose]]&lt;126,"Prediabetes","High Risk"))</f>
        <v>High Risk</v>
      </c>
      <c r="C723">
        <v>148</v>
      </c>
      <c r="D723">
        <v>84</v>
      </c>
      <c r="E723">
        <v>48</v>
      </c>
      <c r="F723">
        <v>237</v>
      </c>
      <c r="G723" t="str">
        <f>IF(Table1[[#This Row],[BMI]]&lt;18.5,"Underweight",IF(Table1[[#This Row],[BMI]]&lt;25,"Normal",IF(Table1[[#This Row],[BMI]]&lt;30,"Overweight","Obese")))</f>
        <v>Obese</v>
      </c>
      <c r="H723">
        <v>37.6</v>
      </c>
      <c r="I723">
        <v>1.0009999999999999</v>
      </c>
      <c r="J723" t="str">
        <f>IF(Table1[[#This Row],[Age]]&lt;30,"Young (&lt;30)",IF(Table1[[#This Row],[Age]]&lt;=50,"Middle Age (30-50)","Older (&gt;50)"))</f>
        <v>Older (&gt;50)</v>
      </c>
      <c r="K723">
        <v>51</v>
      </c>
      <c r="L723">
        <v>1</v>
      </c>
    </row>
    <row r="724" spans="1:12" x14ac:dyDescent="0.3">
      <c r="A724">
        <v>10</v>
      </c>
      <c r="B724" t="str">
        <f>IF(Table1[[#This Row],[Glucose]]&lt;100,"Normal",IF(Table1[[#This Row],[Glucose]]&lt;126,"Prediabetes","High Risk"))</f>
        <v>Prediabetes</v>
      </c>
      <c r="C724">
        <v>115</v>
      </c>
      <c r="D724">
        <v>98</v>
      </c>
      <c r="E724">
        <v>0</v>
      </c>
      <c r="F724">
        <v>0</v>
      </c>
      <c r="G724" t="str">
        <f>IF(Table1[[#This Row],[BMI]]&lt;18.5,"Underweight",IF(Table1[[#This Row],[BMI]]&lt;25,"Normal",IF(Table1[[#This Row],[BMI]]&lt;30,"Overweight","Obese")))</f>
        <v>Normal</v>
      </c>
      <c r="H724">
        <v>24</v>
      </c>
      <c r="I724">
        <v>1.022</v>
      </c>
      <c r="J724" t="str">
        <f>IF(Table1[[#This Row],[Age]]&lt;30,"Young (&lt;30)",IF(Table1[[#This Row],[Age]]&lt;=50,"Middle Age (30-50)","Older (&gt;50)"))</f>
        <v>Middle Age (30-50)</v>
      </c>
      <c r="K724">
        <v>34</v>
      </c>
      <c r="L724">
        <v>0</v>
      </c>
    </row>
    <row r="725" spans="1:12" x14ac:dyDescent="0.3">
      <c r="A725">
        <v>10</v>
      </c>
      <c r="B725" t="str">
        <f>IF(Table1[[#This Row],[Glucose]]&lt;100,"Normal",IF(Table1[[#This Row],[Glucose]]&lt;126,"Prediabetes","High Risk"))</f>
        <v>Normal</v>
      </c>
      <c r="C725">
        <v>75</v>
      </c>
      <c r="D725">
        <v>82</v>
      </c>
      <c r="E725">
        <v>0</v>
      </c>
      <c r="F725">
        <v>0</v>
      </c>
      <c r="G725" t="str">
        <f>IF(Table1[[#This Row],[BMI]]&lt;18.5,"Underweight",IF(Table1[[#This Row],[BMI]]&lt;25,"Normal",IF(Table1[[#This Row],[BMI]]&lt;30,"Overweight","Obese")))</f>
        <v>Obese</v>
      </c>
      <c r="H725">
        <v>33.299999999999997</v>
      </c>
      <c r="I725">
        <v>0.26300000000000001</v>
      </c>
      <c r="J725" t="str">
        <f>IF(Table1[[#This Row],[Age]]&lt;30,"Young (&lt;30)",IF(Table1[[#This Row],[Age]]&lt;=50,"Middle Age (30-50)","Older (&gt;50)"))</f>
        <v>Middle Age (30-50)</v>
      </c>
      <c r="K725">
        <v>38</v>
      </c>
      <c r="L725">
        <v>0</v>
      </c>
    </row>
    <row r="726" spans="1:12" x14ac:dyDescent="0.3">
      <c r="A726">
        <v>10</v>
      </c>
      <c r="B726" t="str">
        <f>IF(Table1[[#This Row],[Glucose]]&lt;100,"Normal",IF(Table1[[#This Row],[Glucose]]&lt;126,"Prediabetes","High Risk"))</f>
        <v>Normal</v>
      </c>
      <c r="C726">
        <v>90</v>
      </c>
      <c r="D726">
        <v>85</v>
      </c>
      <c r="E726">
        <v>32</v>
      </c>
      <c r="F726">
        <v>0</v>
      </c>
      <c r="G726" t="str">
        <f>IF(Table1[[#This Row],[BMI]]&lt;18.5,"Underweight",IF(Table1[[#This Row],[BMI]]&lt;25,"Normal",IF(Table1[[#This Row],[BMI]]&lt;30,"Overweight","Obese")))</f>
        <v>Obese</v>
      </c>
      <c r="H726">
        <v>34.9</v>
      </c>
      <c r="I726">
        <v>0.82499999999999996</v>
      </c>
      <c r="J726" t="str">
        <f>IF(Table1[[#This Row],[Age]]&lt;30,"Young (&lt;30)",IF(Table1[[#This Row],[Age]]&lt;=50,"Middle Age (30-50)","Older (&gt;50)"))</f>
        <v>Older (&gt;50)</v>
      </c>
      <c r="K726">
        <v>56</v>
      </c>
      <c r="L726">
        <v>1</v>
      </c>
    </row>
    <row r="727" spans="1:12" x14ac:dyDescent="0.3">
      <c r="A727">
        <v>10</v>
      </c>
      <c r="B727" t="str">
        <f>IF(Table1[[#This Row],[Glucose]]&lt;100,"Normal",IF(Table1[[#This Row],[Glucose]]&lt;126,"Prediabetes","High Risk"))</f>
        <v>High Risk</v>
      </c>
      <c r="C727">
        <v>133</v>
      </c>
      <c r="D727">
        <v>68</v>
      </c>
      <c r="E727">
        <v>0</v>
      </c>
      <c r="F727">
        <v>0</v>
      </c>
      <c r="G727" t="str">
        <f>IF(Table1[[#This Row],[BMI]]&lt;18.5,"Underweight",IF(Table1[[#This Row],[BMI]]&lt;25,"Normal",IF(Table1[[#This Row],[BMI]]&lt;30,"Overweight","Obese")))</f>
        <v>Overweight</v>
      </c>
      <c r="H727">
        <v>27</v>
      </c>
      <c r="I727">
        <v>0.245</v>
      </c>
      <c r="J727" t="str">
        <f>IF(Table1[[#This Row],[Age]]&lt;30,"Young (&lt;30)",IF(Table1[[#This Row],[Age]]&lt;=50,"Middle Age (30-50)","Older (&gt;50)"))</f>
        <v>Middle Age (30-50)</v>
      </c>
      <c r="K727">
        <v>36</v>
      </c>
      <c r="L727">
        <v>0</v>
      </c>
    </row>
    <row r="728" spans="1:12" x14ac:dyDescent="0.3">
      <c r="A728">
        <v>10</v>
      </c>
      <c r="B728" t="str">
        <f>IF(Table1[[#This Row],[Glucose]]&lt;100,"Normal",IF(Table1[[#This Row],[Glucose]]&lt;126,"Prediabetes","High Risk"))</f>
        <v>Normal</v>
      </c>
      <c r="C728">
        <v>92</v>
      </c>
      <c r="D728">
        <v>62</v>
      </c>
      <c r="E728">
        <v>0</v>
      </c>
      <c r="F728">
        <v>0</v>
      </c>
      <c r="G728" t="str">
        <f>IF(Table1[[#This Row],[BMI]]&lt;18.5,"Underweight",IF(Table1[[#This Row],[BMI]]&lt;25,"Normal",IF(Table1[[#This Row],[BMI]]&lt;30,"Overweight","Obese")))</f>
        <v>Overweight</v>
      </c>
      <c r="H728">
        <v>25.9</v>
      </c>
      <c r="I728">
        <v>0.16700000000000001</v>
      </c>
      <c r="J728" t="str">
        <f>IF(Table1[[#This Row],[Age]]&lt;30,"Young (&lt;30)",IF(Table1[[#This Row],[Age]]&lt;=50,"Middle Age (30-50)","Older (&gt;50)"))</f>
        <v>Middle Age (30-50)</v>
      </c>
      <c r="K728">
        <v>31</v>
      </c>
      <c r="L728">
        <v>0</v>
      </c>
    </row>
    <row r="729" spans="1:12" x14ac:dyDescent="0.3">
      <c r="A729">
        <v>10</v>
      </c>
      <c r="B729" t="str">
        <f>IF(Table1[[#This Row],[Glucose]]&lt;100,"Normal",IF(Table1[[#This Row],[Glucose]]&lt;126,"Prediabetes","High Risk"))</f>
        <v>High Risk</v>
      </c>
      <c r="C729">
        <v>162</v>
      </c>
      <c r="D729">
        <v>84</v>
      </c>
      <c r="E729">
        <v>0</v>
      </c>
      <c r="F729">
        <v>0</v>
      </c>
      <c r="G729" t="str">
        <f>IF(Table1[[#This Row],[BMI]]&lt;18.5,"Underweight",IF(Table1[[#This Row],[BMI]]&lt;25,"Normal",IF(Table1[[#This Row],[BMI]]&lt;30,"Overweight","Obese")))</f>
        <v>Overweight</v>
      </c>
      <c r="H729">
        <v>27.7</v>
      </c>
      <c r="I729">
        <v>0.182</v>
      </c>
      <c r="J729" t="str">
        <f>IF(Table1[[#This Row],[Age]]&lt;30,"Young (&lt;30)",IF(Table1[[#This Row],[Age]]&lt;=50,"Middle Age (30-50)","Older (&gt;50)"))</f>
        <v>Older (&gt;50)</v>
      </c>
      <c r="K729">
        <v>54</v>
      </c>
      <c r="L729">
        <v>0</v>
      </c>
    </row>
    <row r="730" spans="1:12" x14ac:dyDescent="0.3">
      <c r="A730">
        <v>10</v>
      </c>
      <c r="B730" t="str">
        <f>IF(Table1[[#This Row],[Glucose]]&lt;100,"Normal",IF(Table1[[#This Row],[Glucose]]&lt;126,"Prediabetes","High Risk"))</f>
        <v>Prediabetes</v>
      </c>
      <c r="C730">
        <v>111</v>
      </c>
      <c r="D730">
        <v>70</v>
      </c>
      <c r="E730">
        <v>27</v>
      </c>
      <c r="F730">
        <v>0</v>
      </c>
      <c r="G730" t="str">
        <f>IF(Table1[[#This Row],[BMI]]&lt;18.5,"Underweight",IF(Table1[[#This Row],[BMI]]&lt;25,"Normal",IF(Table1[[#This Row],[BMI]]&lt;30,"Overweight","Obese")))</f>
        <v>Overweight</v>
      </c>
      <c r="H730">
        <v>27.5</v>
      </c>
      <c r="I730">
        <v>0.14099999999999999</v>
      </c>
      <c r="J730" t="str">
        <f>IF(Table1[[#This Row],[Age]]&lt;30,"Young (&lt;30)",IF(Table1[[#This Row],[Age]]&lt;=50,"Middle Age (30-50)","Older (&gt;50)"))</f>
        <v>Middle Age (30-50)</v>
      </c>
      <c r="K730">
        <v>40</v>
      </c>
      <c r="L730">
        <v>1</v>
      </c>
    </row>
    <row r="731" spans="1:12" x14ac:dyDescent="0.3">
      <c r="A731">
        <v>10</v>
      </c>
      <c r="B731" t="str">
        <f>IF(Table1[[#This Row],[Glucose]]&lt;100,"Normal",IF(Table1[[#This Row],[Glucose]]&lt;126,"Prediabetes","High Risk"))</f>
        <v>Normal</v>
      </c>
      <c r="C731">
        <v>68</v>
      </c>
      <c r="D731">
        <v>106</v>
      </c>
      <c r="E731">
        <v>23</v>
      </c>
      <c r="F731">
        <v>49</v>
      </c>
      <c r="G731" t="str">
        <f>IF(Table1[[#This Row],[BMI]]&lt;18.5,"Underweight",IF(Table1[[#This Row],[BMI]]&lt;25,"Normal",IF(Table1[[#This Row],[BMI]]&lt;30,"Overweight","Obese")))</f>
        <v>Obese</v>
      </c>
      <c r="H731">
        <v>35.5</v>
      </c>
      <c r="I731">
        <v>0.28499999999999998</v>
      </c>
      <c r="J731" t="str">
        <f>IF(Table1[[#This Row],[Age]]&lt;30,"Young (&lt;30)",IF(Table1[[#This Row],[Age]]&lt;=50,"Middle Age (30-50)","Older (&gt;50)"))</f>
        <v>Middle Age (30-50)</v>
      </c>
      <c r="K731">
        <v>47</v>
      </c>
      <c r="L731">
        <v>0</v>
      </c>
    </row>
    <row r="732" spans="1:12" x14ac:dyDescent="0.3">
      <c r="A732">
        <v>10</v>
      </c>
      <c r="B732" t="str">
        <f>IF(Table1[[#This Row],[Glucose]]&lt;100,"Normal",IF(Table1[[#This Row],[Glucose]]&lt;126,"Prediabetes","High Risk"))</f>
        <v>Prediabetes</v>
      </c>
      <c r="C732">
        <v>115</v>
      </c>
      <c r="D732">
        <v>0</v>
      </c>
      <c r="E732">
        <v>0</v>
      </c>
      <c r="F732">
        <v>0</v>
      </c>
      <c r="G732" t="str">
        <f>IF(Table1[[#This Row],[BMI]]&lt;18.5,"Underweight",IF(Table1[[#This Row],[BMI]]&lt;25,"Normal",IF(Table1[[#This Row],[BMI]]&lt;30,"Overweight","Obese")))</f>
        <v>Underweight</v>
      </c>
      <c r="H732">
        <v>0</v>
      </c>
      <c r="I732">
        <v>0.26100000000000001</v>
      </c>
      <c r="J732" t="str">
        <f>IF(Table1[[#This Row],[Age]]&lt;30,"Young (&lt;30)",IF(Table1[[#This Row],[Age]]&lt;=50,"Middle Age (30-50)","Older (&gt;50)"))</f>
        <v>Middle Age (30-50)</v>
      </c>
      <c r="K732">
        <v>30</v>
      </c>
      <c r="L732">
        <v>1</v>
      </c>
    </row>
    <row r="733" spans="1:12" x14ac:dyDescent="0.3">
      <c r="A733">
        <v>10</v>
      </c>
      <c r="B733" t="str">
        <f>IF(Table1[[#This Row],[Glucose]]&lt;100,"Normal",IF(Table1[[#This Row],[Glucose]]&lt;126,"Prediabetes","High Risk"))</f>
        <v>High Risk</v>
      </c>
      <c r="C733">
        <v>129</v>
      </c>
      <c r="D733">
        <v>62</v>
      </c>
      <c r="E733">
        <v>36</v>
      </c>
      <c r="F733">
        <v>0</v>
      </c>
      <c r="G733" t="str">
        <f>IF(Table1[[#This Row],[BMI]]&lt;18.5,"Underweight",IF(Table1[[#This Row],[BMI]]&lt;25,"Normal",IF(Table1[[#This Row],[BMI]]&lt;30,"Overweight","Obese")))</f>
        <v>Obese</v>
      </c>
      <c r="H733">
        <v>41.2</v>
      </c>
      <c r="I733">
        <v>0.441</v>
      </c>
      <c r="J733" t="str">
        <f>IF(Table1[[#This Row],[Age]]&lt;30,"Young (&lt;30)",IF(Table1[[#This Row],[Age]]&lt;=50,"Middle Age (30-50)","Older (&gt;50)"))</f>
        <v>Middle Age (30-50)</v>
      </c>
      <c r="K733">
        <v>38</v>
      </c>
      <c r="L733">
        <v>1</v>
      </c>
    </row>
    <row r="734" spans="1:12" x14ac:dyDescent="0.3">
      <c r="A734">
        <v>10</v>
      </c>
      <c r="B734" t="str">
        <f>IF(Table1[[#This Row],[Glucose]]&lt;100,"Normal",IF(Table1[[#This Row],[Glucose]]&lt;126,"Prediabetes","High Risk"))</f>
        <v>Normal</v>
      </c>
      <c r="C734">
        <v>94</v>
      </c>
      <c r="D734">
        <v>72</v>
      </c>
      <c r="E734">
        <v>18</v>
      </c>
      <c r="F734">
        <v>0</v>
      </c>
      <c r="G734" t="str">
        <f>IF(Table1[[#This Row],[BMI]]&lt;18.5,"Underweight",IF(Table1[[#This Row],[BMI]]&lt;25,"Normal",IF(Table1[[#This Row],[BMI]]&lt;30,"Overweight","Obese")))</f>
        <v>Normal</v>
      </c>
      <c r="H734">
        <v>23.1</v>
      </c>
      <c r="I734">
        <v>0.59499999999999997</v>
      </c>
      <c r="J734" t="str">
        <f>IF(Table1[[#This Row],[Age]]&lt;30,"Young (&lt;30)",IF(Table1[[#This Row],[Age]]&lt;=50,"Middle Age (30-50)","Older (&gt;50)"))</f>
        <v>Older (&gt;50)</v>
      </c>
      <c r="K734">
        <v>56</v>
      </c>
      <c r="L734">
        <v>0</v>
      </c>
    </row>
    <row r="735" spans="1:12" x14ac:dyDescent="0.3">
      <c r="A735">
        <v>10</v>
      </c>
      <c r="B735" t="str">
        <f>IF(Table1[[#This Row],[Glucose]]&lt;100,"Normal",IF(Table1[[#This Row],[Glucose]]&lt;126,"Prediabetes","High Risk"))</f>
        <v>Prediabetes</v>
      </c>
      <c r="C735">
        <v>101</v>
      </c>
      <c r="D735">
        <v>76</v>
      </c>
      <c r="E735">
        <v>48</v>
      </c>
      <c r="F735">
        <v>180</v>
      </c>
      <c r="G735" t="str">
        <f>IF(Table1[[#This Row],[BMI]]&lt;18.5,"Underweight",IF(Table1[[#This Row],[BMI]]&lt;25,"Normal",IF(Table1[[#This Row],[BMI]]&lt;30,"Overweight","Obese")))</f>
        <v>Obese</v>
      </c>
      <c r="H735">
        <v>32.9</v>
      </c>
      <c r="I735">
        <v>0.17100000000000001</v>
      </c>
      <c r="J735" t="str">
        <f>IF(Table1[[#This Row],[Age]]&lt;30,"Young (&lt;30)",IF(Table1[[#This Row],[Age]]&lt;=50,"Middle Age (30-50)","Older (&gt;50)"))</f>
        <v>Older (&gt;50)</v>
      </c>
      <c r="K735">
        <v>63</v>
      </c>
      <c r="L735">
        <v>0</v>
      </c>
    </row>
    <row r="736" spans="1:12" x14ac:dyDescent="0.3">
      <c r="A736">
        <v>11</v>
      </c>
      <c r="B736" t="str">
        <f>IF(Table1[[#This Row],[Glucose]]&lt;100,"Normal",IF(Table1[[#This Row],[Glucose]]&lt;126,"Prediabetes","High Risk"))</f>
        <v>High Risk</v>
      </c>
      <c r="C736">
        <v>143</v>
      </c>
      <c r="D736">
        <v>94</v>
      </c>
      <c r="E736">
        <v>33</v>
      </c>
      <c r="F736">
        <v>146</v>
      </c>
      <c r="G736" t="str">
        <f>IF(Table1[[#This Row],[BMI]]&lt;18.5,"Underweight",IF(Table1[[#This Row],[BMI]]&lt;25,"Normal",IF(Table1[[#This Row],[BMI]]&lt;30,"Overweight","Obese")))</f>
        <v>Obese</v>
      </c>
      <c r="H736">
        <v>36.6</v>
      </c>
      <c r="I736">
        <v>0.254</v>
      </c>
      <c r="J736" t="str">
        <f>IF(Table1[[#This Row],[Age]]&lt;30,"Young (&lt;30)",IF(Table1[[#This Row],[Age]]&lt;=50,"Middle Age (30-50)","Older (&gt;50)"))</f>
        <v>Older (&gt;50)</v>
      </c>
      <c r="K736">
        <v>51</v>
      </c>
      <c r="L736">
        <v>1</v>
      </c>
    </row>
    <row r="737" spans="1:12" x14ac:dyDescent="0.3">
      <c r="A737">
        <v>11</v>
      </c>
      <c r="B737" t="str">
        <f>IF(Table1[[#This Row],[Glucose]]&lt;100,"Normal",IF(Table1[[#This Row],[Glucose]]&lt;126,"Prediabetes","High Risk"))</f>
        <v>High Risk</v>
      </c>
      <c r="C737">
        <v>138</v>
      </c>
      <c r="D737">
        <v>76</v>
      </c>
      <c r="E737">
        <v>0</v>
      </c>
      <c r="F737">
        <v>0</v>
      </c>
      <c r="G737" t="str">
        <f>IF(Table1[[#This Row],[BMI]]&lt;18.5,"Underweight",IF(Table1[[#This Row],[BMI]]&lt;25,"Normal",IF(Table1[[#This Row],[BMI]]&lt;30,"Overweight","Obese")))</f>
        <v>Obese</v>
      </c>
      <c r="H737">
        <v>33.200000000000003</v>
      </c>
      <c r="I737">
        <v>0.42</v>
      </c>
      <c r="J737" t="str">
        <f>IF(Table1[[#This Row],[Age]]&lt;30,"Young (&lt;30)",IF(Table1[[#This Row],[Age]]&lt;=50,"Middle Age (30-50)","Older (&gt;50)"))</f>
        <v>Middle Age (30-50)</v>
      </c>
      <c r="K737">
        <v>35</v>
      </c>
      <c r="L737">
        <v>0</v>
      </c>
    </row>
    <row r="738" spans="1:12" x14ac:dyDescent="0.3">
      <c r="A738">
        <v>11</v>
      </c>
      <c r="B738" t="str">
        <f>IF(Table1[[#This Row],[Glucose]]&lt;100,"Normal",IF(Table1[[#This Row],[Glucose]]&lt;126,"Prediabetes","High Risk"))</f>
        <v>High Risk</v>
      </c>
      <c r="C738">
        <v>135</v>
      </c>
      <c r="D738">
        <v>0</v>
      </c>
      <c r="E738">
        <v>0</v>
      </c>
      <c r="F738">
        <v>0</v>
      </c>
      <c r="G738" t="str">
        <f>IF(Table1[[#This Row],[BMI]]&lt;18.5,"Underweight",IF(Table1[[#This Row],[BMI]]&lt;25,"Normal",IF(Table1[[#This Row],[BMI]]&lt;30,"Overweight","Obese")))</f>
        <v>Obese</v>
      </c>
      <c r="H738">
        <v>52.3</v>
      </c>
      <c r="I738">
        <v>0.57799999999999996</v>
      </c>
      <c r="J738" t="str">
        <f>IF(Table1[[#This Row],[Age]]&lt;30,"Young (&lt;30)",IF(Table1[[#This Row],[Age]]&lt;=50,"Middle Age (30-50)","Older (&gt;50)"))</f>
        <v>Middle Age (30-50)</v>
      </c>
      <c r="K738">
        <v>40</v>
      </c>
      <c r="L738">
        <v>1</v>
      </c>
    </row>
    <row r="739" spans="1:12" x14ac:dyDescent="0.3">
      <c r="A739">
        <v>11</v>
      </c>
      <c r="B739" t="str">
        <f>IF(Table1[[#This Row],[Glucose]]&lt;100,"Normal",IF(Table1[[#This Row],[Glucose]]&lt;126,"Prediabetes","High Risk"))</f>
        <v>High Risk</v>
      </c>
      <c r="C739">
        <v>155</v>
      </c>
      <c r="D739">
        <v>76</v>
      </c>
      <c r="E739">
        <v>28</v>
      </c>
      <c r="F739">
        <v>150</v>
      </c>
      <c r="G739" t="str">
        <f>IF(Table1[[#This Row],[BMI]]&lt;18.5,"Underweight",IF(Table1[[#This Row],[BMI]]&lt;25,"Normal",IF(Table1[[#This Row],[BMI]]&lt;30,"Overweight","Obese")))</f>
        <v>Obese</v>
      </c>
      <c r="H739">
        <v>33.299999999999997</v>
      </c>
      <c r="I739">
        <v>1.353</v>
      </c>
      <c r="J739" t="str">
        <f>IF(Table1[[#This Row],[Age]]&lt;30,"Young (&lt;30)",IF(Table1[[#This Row],[Age]]&lt;=50,"Middle Age (30-50)","Older (&gt;50)"))</f>
        <v>Older (&gt;50)</v>
      </c>
      <c r="K739">
        <v>51</v>
      </c>
      <c r="L739">
        <v>1</v>
      </c>
    </row>
    <row r="740" spans="1:12" x14ac:dyDescent="0.3">
      <c r="A740">
        <v>11</v>
      </c>
      <c r="B740" t="str">
        <f>IF(Table1[[#This Row],[Glucose]]&lt;100,"Normal",IF(Table1[[#This Row],[Glucose]]&lt;126,"Prediabetes","High Risk"))</f>
        <v>Prediabetes</v>
      </c>
      <c r="C740">
        <v>103</v>
      </c>
      <c r="D740">
        <v>68</v>
      </c>
      <c r="E740">
        <v>40</v>
      </c>
      <c r="F740">
        <v>0</v>
      </c>
      <c r="G740" t="str">
        <f>IF(Table1[[#This Row],[BMI]]&lt;18.5,"Underweight",IF(Table1[[#This Row],[BMI]]&lt;25,"Normal",IF(Table1[[#This Row],[BMI]]&lt;30,"Overweight","Obese")))</f>
        <v>Obese</v>
      </c>
      <c r="H740">
        <v>46.2</v>
      </c>
      <c r="I740">
        <v>0.126</v>
      </c>
      <c r="J740" t="str">
        <f>IF(Table1[[#This Row],[Age]]&lt;30,"Young (&lt;30)",IF(Table1[[#This Row],[Age]]&lt;=50,"Middle Age (30-50)","Older (&gt;50)"))</f>
        <v>Middle Age (30-50)</v>
      </c>
      <c r="K740">
        <v>42</v>
      </c>
      <c r="L740">
        <v>0</v>
      </c>
    </row>
    <row r="741" spans="1:12" x14ac:dyDescent="0.3">
      <c r="A741">
        <v>11</v>
      </c>
      <c r="B741" t="str">
        <f>IF(Table1[[#This Row],[Glucose]]&lt;100,"Normal",IF(Table1[[#This Row],[Glucose]]&lt;126,"Prediabetes","High Risk"))</f>
        <v>Normal</v>
      </c>
      <c r="C741">
        <v>85</v>
      </c>
      <c r="D741">
        <v>74</v>
      </c>
      <c r="E741">
        <v>0</v>
      </c>
      <c r="F741">
        <v>0</v>
      </c>
      <c r="G741" t="str">
        <f>IF(Table1[[#This Row],[BMI]]&lt;18.5,"Underweight",IF(Table1[[#This Row],[BMI]]&lt;25,"Normal",IF(Table1[[#This Row],[BMI]]&lt;30,"Overweight","Obese")))</f>
        <v>Obese</v>
      </c>
      <c r="H741">
        <v>30.1</v>
      </c>
      <c r="I741">
        <v>0.3</v>
      </c>
      <c r="J741" t="str">
        <f>IF(Table1[[#This Row],[Age]]&lt;30,"Young (&lt;30)",IF(Table1[[#This Row],[Age]]&lt;=50,"Middle Age (30-50)","Older (&gt;50)"))</f>
        <v>Middle Age (30-50)</v>
      </c>
      <c r="K741">
        <v>35</v>
      </c>
      <c r="L741">
        <v>0</v>
      </c>
    </row>
    <row r="742" spans="1:12" x14ac:dyDescent="0.3">
      <c r="A742">
        <v>11</v>
      </c>
      <c r="B742" t="str">
        <f>IF(Table1[[#This Row],[Glucose]]&lt;100,"Normal",IF(Table1[[#This Row],[Glucose]]&lt;126,"Prediabetes","High Risk"))</f>
        <v>Prediabetes</v>
      </c>
      <c r="C742">
        <v>111</v>
      </c>
      <c r="D742">
        <v>84</v>
      </c>
      <c r="E742">
        <v>40</v>
      </c>
      <c r="F742">
        <v>0</v>
      </c>
      <c r="G742" t="str">
        <f>IF(Table1[[#This Row],[BMI]]&lt;18.5,"Underweight",IF(Table1[[#This Row],[BMI]]&lt;25,"Normal",IF(Table1[[#This Row],[BMI]]&lt;30,"Overweight","Obese")))</f>
        <v>Obese</v>
      </c>
      <c r="H742">
        <v>46.8</v>
      </c>
      <c r="I742">
        <v>0.92500000000000004</v>
      </c>
      <c r="J742" t="str">
        <f>IF(Table1[[#This Row],[Age]]&lt;30,"Young (&lt;30)",IF(Table1[[#This Row],[Age]]&lt;=50,"Middle Age (30-50)","Older (&gt;50)"))</f>
        <v>Middle Age (30-50)</v>
      </c>
      <c r="K742">
        <v>45</v>
      </c>
      <c r="L742">
        <v>1</v>
      </c>
    </row>
    <row r="743" spans="1:12" x14ac:dyDescent="0.3">
      <c r="A743">
        <v>11</v>
      </c>
      <c r="B743" t="str">
        <f>IF(Table1[[#This Row],[Glucose]]&lt;100,"Normal",IF(Table1[[#This Row],[Glucose]]&lt;126,"Prediabetes","High Risk"))</f>
        <v>High Risk</v>
      </c>
      <c r="C743">
        <v>138</v>
      </c>
      <c r="D743">
        <v>74</v>
      </c>
      <c r="E743">
        <v>26</v>
      </c>
      <c r="F743">
        <v>144</v>
      </c>
      <c r="G743" t="str">
        <f>IF(Table1[[#This Row],[BMI]]&lt;18.5,"Underweight",IF(Table1[[#This Row],[BMI]]&lt;25,"Normal",IF(Table1[[#This Row],[BMI]]&lt;30,"Overweight","Obese")))</f>
        <v>Obese</v>
      </c>
      <c r="H743">
        <v>36.1</v>
      </c>
      <c r="I743">
        <v>0.55700000000000005</v>
      </c>
      <c r="J743" t="str">
        <f>IF(Table1[[#This Row],[Age]]&lt;30,"Young (&lt;30)",IF(Table1[[#This Row],[Age]]&lt;=50,"Middle Age (30-50)","Older (&gt;50)"))</f>
        <v>Middle Age (30-50)</v>
      </c>
      <c r="K743">
        <v>50</v>
      </c>
      <c r="L743">
        <v>1</v>
      </c>
    </row>
    <row r="744" spans="1:12" x14ac:dyDescent="0.3">
      <c r="A744">
        <v>11</v>
      </c>
      <c r="B744" t="str">
        <f>IF(Table1[[#This Row],[Glucose]]&lt;100,"Normal",IF(Table1[[#This Row],[Glucose]]&lt;126,"Prediabetes","High Risk"))</f>
        <v>High Risk</v>
      </c>
      <c r="C744">
        <v>136</v>
      </c>
      <c r="D744">
        <v>84</v>
      </c>
      <c r="E744">
        <v>35</v>
      </c>
      <c r="F744">
        <v>130</v>
      </c>
      <c r="G744" t="str">
        <f>IF(Table1[[#This Row],[BMI]]&lt;18.5,"Underweight",IF(Table1[[#This Row],[BMI]]&lt;25,"Normal",IF(Table1[[#This Row],[BMI]]&lt;30,"Overweight","Obese")))</f>
        <v>Overweight</v>
      </c>
      <c r="H744">
        <v>28.3</v>
      </c>
      <c r="I744">
        <v>0.26</v>
      </c>
      <c r="J744" t="str">
        <f>IF(Table1[[#This Row],[Age]]&lt;30,"Young (&lt;30)",IF(Table1[[#This Row],[Age]]&lt;=50,"Middle Age (30-50)","Older (&gt;50)"))</f>
        <v>Middle Age (30-50)</v>
      </c>
      <c r="K744">
        <v>42</v>
      </c>
      <c r="L744">
        <v>1</v>
      </c>
    </row>
    <row r="745" spans="1:12" x14ac:dyDescent="0.3">
      <c r="A745">
        <v>11</v>
      </c>
      <c r="B745" t="str">
        <f>IF(Table1[[#This Row],[Glucose]]&lt;100,"Normal",IF(Table1[[#This Row],[Glucose]]&lt;126,"Prediabetes","High Risk"))</f>
        <v>High Risk</v>
      </c>
      <c r="C745">
        <v>127</v>
      </c>
      <c r="D745">
        <v>106</v>
      </c>
      <c r="E745">
        <v>0</v>
      </c>
      <c r="F745">
        <v>0</v>
      </c>
      <c r="G745" t="str">
        <f>IF(Table1[[#This Row],[BMI]]&lt;18.5,"Underweight",IF(Table1[[#This Row],[BMI]]&lt;25,"Normal",IF(Table1[[#This Row],[BMI]]&lt;30,"Overweight","Obese")))</f>
        <v>Obese</v>
      </c>
      <c r="H745">
        <v>39</v>
      </c>
      <c r="I745">
        <v>0.19</v>
      </c>
      <c r="J745" t="str">
        <f>IF(Table1[[#This Row],[Age]]&lt;30,"Young (&lt;30)",IF(Table1[[#This Row],[Age]]&lt;=50,"Middle Age (30-50)","Older (&gt;50)"))</f>
        <v>Older (&gt;50)</v>
      </c>
      <c r="K745">
        <v>51</v>
      </c>
      <c r="L745">
        <v>0</v>
      </c>
    </row>
    <row r="746" spans="1:12" x14ac:dyDescent="0.3">
      <c r="A746">
        <v>11</v>
      </c>
      <c r="B746" t="str">
        <f>IF(Table1[[#This Row],[Glucose]]&lt;100,"Normal",IF(Table1[[#This Row],[Glucose]]&lt;126,"Prediabetes","High Risk"))</f>
        <v>Prediabetes</v>
      </c>
      <c r="C746">
        <v>120</v>
      </c>
      <c r="D746">
        <v>80</v>
      </c>
      <c r="E746">
        <v>37</v>
      </c>
      <c r="F746">
        <v>150</v>
      </c>
      <c r="G746" t="str">
        <f>IF(Table1[[#This Row],[BMI]]&lt;18.5,"Underweight",IF(Table1[[#This Row],[BMI]]&lt;25,"Normal",IF(Table1[[#This Row],[BMI]]&lt;30,"Overweight","Obese")))</f>
        <v>Obese</v>
      </c>
      <c r="H746">
        <v>42.3</v>
      </c>
      <c r="I746">
        <v>0.78500000000000003</v>
      </c>
      <c r="J746" t="str">
        <f>IF(Table1[[#This Row],[Age]]&lt;30,"Young (&lt;30)",IF(Table1[[#This Row],[Age]]&lt;=50,"Middle Age (30-50)","Older (&gt;50)"))</f>
        <v>Middle Age (30-50)</v>
      </c>
      <c r="K746">
        <v>48</v>
      </c>
      <c r="L746">
        <v>1</v>
      </c>
    </row>
    <row r="747" spans="1:12" x14ac:dyDescent="0.3">
      <c r="A747">
        <v>12</v>
      </c>
      <c r="B747" t="str">
        <f>IF(Table1[[#This Row],[Glucose]]&lt;100,"Normal",IF(Table1[[#This Row],[Glucose]]&lt;126,"Prediabetes","High Risk"))</f>
        <v>High Risk</v>
      </c>
      <c r="C747">
        <v>151</v>
      </c>
      <c r="D747">
        <v>70</v>
      </c>
      <c r="E747">
        <v>40</v>
      </c>
      <c r="F747">
        <v>271</v>
      </c>
      <c r="G747" t="str">
        <f>IF(Table1[[#This Row],[BMI]]&lt;18.5,"Underweight",IF(Table1[[#This Row],[BMI]]&lt;25,"Normal",IF(Table1[[#This Row],[BMI]]&lt;30,"Overweight","Obese")))</f>
        <v>Obese</v>
      </c>
      <c r="H747">
        <v>41.8</v>
      </c>
      <c r="I747">
        <v>0.74199999999999999</v>
      </c>
      <c r="J747" t="str">
        <f>IF(Table1[[#This Row],[Age]]&lt;30,"Young (&lt;30)",IF(Table1[[#This Row],[Age]]&lt;=50,"Middle Age (30-50)","Older (&gt;50)"))</f>
        <v>Middle Age (30-50)</v>
      </c>
      <c r="K747">
        <v>38</v>
      </c>
      <c r="L747">
        <v>1</v>
      </c>
    </row>
    <row r="748" spans="1:12" x14ac:dyDescent="0.3">
      <c r="A748">
        <v>12</v>
      </c>
      <c r="B748" t="str">
        <f>IF(Table1[[#This Row],[Glucose]]&lt;100,"Normal",IF(Table1[[#This Row],[Glucose]]&lt;126,"Prediabetes","High Risk"))</f>
        <v>Normal</v>
      </c>
      <c r="C748">
        <v>92</v>
      </c>
      <c r="D748">
        <v>62</v>
      </c>
      <c r="E748">
        <v>7</v>
      </c>
      <c r="F748">
        <v>258</v>
      </c>
      <c r="G748" t="str">
        <f>IF(Table1[[#This Row],[BMI]]&lt;18.5,"Underweight",IF(Table1[[#This Row],[BMI]]&lt;25,"Normal",IF(Table1[[#This Row],[BMI]]&lt;30,"Overweight","Obese")))</f>
        <v>Overweight</v>
      </c>
      <c r="H748">
        <v>27.6</v>
      </c>
      <c r="I748">
        <v>0.92600000000000005</v>
      </c>
      <c r="J748" t="str">
        <f>IF(Table1[[#This Row],[Age]]&lt;30,"Young (&lt;30)",IF(Table1[[#This Row],[Age]]&lt;=50,"Middle Age (30-50)","Older (&gt;50)"))</f>
        <v>Middle Age (30-50)</v>
      </c>
      <c r="K748">
        <v>44</v>
      </c>
      <c r="L748">
        <v>1</v>
      </c>
    </row>
    <row r="749" spans="1:12" x14ac:dyDescent="0.3">
      <c r="A749">
        <v>12</v>
      </c>
      <c r="B749" t="str">
        <f>IF(Table1[[#This Row],[Glucose]]&lt;100,"Normal",IF(Table1[[#This Row],[Glucose]]&lt;126,"Prediabetes","High Risk"))</f>
        <v>Prediabetes</v>
      </c>
      <c r="C749">
        <v>106</v>
      </c>
      <c r="D749">
        <v>80</v>
      </c>
      <c r="E749">
        <v>0</v>
      </c>
      <c r="F749">
        <v>0</v>
      </c>
      <c r="G749" t="str">
        <f>IF(Table1[[#This Row],[BMI]]&lt;18.5,"Underweight",IF(Table1[[#This Row],[BMI]]&lt;25,"Normal",IF(Table1[[#This Row],[BMI]]&lt;30,"Overweight","Obese")))</f>
        <v>Normal</v>
      </c>
      <c r="H749">
        <v>23.6</v>
      </c>
      <c r="I749">
        <v>0.13700000000000001</v>
      </c>
      <c r="J749" t="str">
        <f>IF(Table1[[#This Row],[Age]]&lt;30,"Young (&lt;30)",IF(Table1[[#This Row],[Age]]&lt;=50,"Middle Age (30-50)","Older (&gt;50)"))</f>
        <v>Middle Age (30-50)</v>
      </c>
      <c r="K749">
        <v>44</v>
      </c>
      <c r="L749">
        <v>0</v>
      </c>
    </row>
    <row r="750" spans="1:12" x14ac:dyDescent="0.3">
      <c r="A750">
        <v>12</v>
      </c>
      <c r="B750" t="str">
        <f>IF(Table1[[#This Row],[Glucose]]&lt;100,"Normal",IF(Table1[[#This Row],[Glucose]]&lt;126,"Prediabetes","High Risk"))</f>
        <v>Normal</v>
      </c>
      <c r="C750">
        <v>88</v>
      </c>
      <c r="D750">
        <v>74</v>
      </c>
      <c r="E750">
        <v>40</v>
      </c>
      <c r="F750">
        <v>54</v>
      </c>
      <c r="G750" t="str">
        <f>IF(Table1[[#This Row],[BMI]]&lt;18.5,"Underweight",IF(Table1[[#This Row],[BMI]]&lt;25,"Normal",IF(Table1[[#This Row],[BMI]]&lt;30,"Overweight","Obese")))</f>
        <v>Obese</v>
      </c>
      <c r="H750">
        <v>35.299999999999997</v>
      </c>
      <c r="I750">
        <v>0.378</v>
      </c>
      <c r="J750" t="str">
        <f>IF(Table1[[#This Row],[Age]]&lt;30,"Young (&lt;30)",IF(Table1[[#This Row],[Age]]&lt;=50,"Middle Age (30-50)","Older (&gt;50)"))</f>
        <v>Middle Age (30-50)</v>
      </c>
      <c r="K750">
        <v>48</v>
      </c>
      <c r="L750">
        <v>0</v>
      </c>
    </row>
    <row r="751" spans="1:12" x14ac:dyDescent="0.3">
      <c r="A751">
        <v>12</v>
      </c>
      <c r="B751" t="str">
        <f>IF(Table1[[#This Row],[Glucose]]&lt;100,"Normal",IF(Table1[[#This Row],[Glucose]]&lt;126,"Prediabetes","High Risk"))</f>
        <v>High Risk</v>
      </c>
      <c r="C751">
        <v>140</v>
      </c>
      <c r="D751">
        <v>82</v>
      </c>
      <c r="E751">
        <v>43</v>
      </c>
      <c r="F751">
        <v>325</v>
      </c>
      <c r="G751" t="str">
        <f>IF(Table1[[#This Row],[BMI]]&lt;18.5,"Underweight",IF(Table1[[#This Row],[BMI]]&lt;25,"Normal",IF(Table1[[#This Row],[BMI]]&lt;30,"Overweight","Obese")))</f>
        <v>Obese</v>
      </c>
      <c r="H751">
        <v>39.200000000000003</v>
      </c>
      <c r="I751">
        <v>0.52800000000000002</v>
      </c>
      <c r="J751" t="str">
        <f>IF(Table1[[#This Row],[Age]]&lt;30,"Young (&lt;30)",IF(Table1[[#This Row],[Age]]&lt;=50,"Middle Age (30-50)","Older (&gt;50)"))</f>
        <v>Older (&gt;50)</v>
      </c>
      <c r="K751">
        <v>58</v>
      </c>
      <c r="L751">
        <v>1</v>
      </c>
    </row>
    <row r="752" spans="1:12" x14ac:dyDescent="0.3">
      <c r="A752">
        <v>12</v>
      </c>
      <c r="B752" t="str">
        <f>IF(Table1[[#This Row],[Glucose]]&lt;100,"Normal",IF(Table1[[#This Row],[Glucose]]&lt;126,"Prediabetes","High Risk"))</f>
        <v>High Risk</v>
      </c>
      <c r="C752">
        <v>140</v>
      </c>
      <c r="D752">
        <v>85</v>
      </c>
      <c r="E752">
        <v>33</v>
      </c>
      <c r="F752">
        <v>0</v>
      </c>
      <c r="G752" t="str">
        <f>IF(Table1[[#This Row],[BMI]]&lt;18.5,"Underweight",IF(Table1[[#This Row],[BMI]]&lt;25,"Normal",IF(Table1[[#This Row],[BMI]]&lt;30,"Overweight","Obese")))</f>
        <v>Obese</v>
      </c>
      <c r="H752">
        <v>37.4</v>
      </c>
      <c r="I752">
        <v>0.24399999999999999</v>
      </c>
      <c r="J752" t="str">
        <f>IF(Table1[[#This Row],[Age]]&lt;30,"Young (&lt;30)",IF(Table1[[#This Row],[Age]]&lt;=50,"Middle Age (30-50)","Older (&gt;50)"))</f>
        <v>Middle Age (30-50)</v>
      </c>
      <c r="K752">
        <v>41</v>
      </c>
      <c r="L752">
        <v>0</v>
      </c>
    </row>
    <row r="753" spans="1:12" x14ac:dyDescent="0.3">
      <c r="A753">
        <v>12</v>
      </c>
      <c r="B753" t="str">
        <f>IF(Table1[[#This Row],[Glucose]]&lt;100,"Normal",IF(Table1[[#This Row],[Glucose]]&lt;126,"Prediabetes","High Risk"))</f>
        <v>Normal</v>
      </c>
      <c r="C753">
        <v>84</v>
      </c>
      <c r="D753">
        <v>72</v>
      </c>
      <c r="E753">
        <v>31</v>
      </c>
      <c r="F753">
        <v>0</v>
      </c>
      <c r="G753" t="str">
        <f>IF(Table1[[#This Row],[BMI]]&lt;18.5,"Underweight",IF(Table1[[#This Row],[BMI]]&lt;25,"Normal",IF(Table1[[#This Row],[BMI]]&lt;30,"Overweight","Obese")))</f>
        <v>Overweight</v>
      </c>
      <c r="H753">
        <v>29.7</v>
      </c>
      <c r="I753">
        <v>0.29699999999999999</v>
      </c>
      <c r="J753" t="str">
        <f>IF(Table1[[#This Row],[Age]]&lt;30,"Young (&lt;30)",IF(Table1[[#This Row],[Age]]&lt;=50,"Middle Age (30-50)","Older (&gt;50)"))</f>
        <v>Middle Age (30-50)</v>
      </c>
      <c r="K753">
        <v>46</v>
      </c>
      <c r="L753">
        <v>1</v>
      </c>
    </row>
    <row r="754" spans="1:12" x14ac:dyDescent="0.3">
      <c r="A754">
        <v>12</v>
      </c>
      <c r="B754" t="str">
        <f>IF(Table1[[#This Row],[Glucose]]&lt;100,"Normal",IF(Table1[[#This Row],[Glucose]]&lt;126,"Prediabetes","High Risk"))</f>
        <v>Prediabetes</v>
      </c>
      <c r="C754">
        <v>121</v>
      </c>
      <c r="D754">
        <v>78</v>
      </c>
      <c r="E754">
        <v>17</v>
      </c>
      <c r="F754">
        <v>0</v>
      </c>
      <c r="G754" t="str">
        <f>IF(Table1[[#This Row],[BMI]]&lt;18.5,"Underweight",IF(Table1[[#This Row],[BMI]]&lt;25,"Normal",IF(Table1[[#This Row],[BMI]]&lt;30,"Overweight","Obese")))</f>
        <v>Overweight</v>
      </c>
      <c r="H754">
        <v>26.5</v>
      </c>
      <c r="I754">
        <v>0.25900000000000001</v>
      </c>
      <c r="J754" t="str">
        <f>IF(Table1[[#This Row],[Age]]&lt;30,"Young (&lt;30)",IF(Table1[[#This Row],[Age]]&lt;=50,"Middle Age (30-50)","Older (&gt;50)"))</f>
        <v>Older (&gt;50)</v>
      </c>
      <c r="K754">
        <v>62</v>
      </c>
      <c r="L754">
        <v>0</v>
      </c>
    </row>
    <row r="755" spans="1:12" x14ac:dyDescent="0.3">
      <c r="A755">
        <v>12</v>
      </c>
      <c r="B755" t="str">
        <f>IF(Table1[[#This Row],[Glucose]]&lt;100,"Normal",IF(Table1[[#This Row],[Glucose]]&lt;126,"Prediabetes","High Risk"))</f>
        <v>Prediabetes</v>
      </c>
      <c r="C755">
        <v>100</v>
      </c>
      <c r="D755">
        <v>84</v>
      </c>
      <c r="E755">
        <v>33</v>
      </c>
      <c r="F755">
        <v>105</v>
      </c>
      <c r="G755" t="str">
        <f>IF(Table1[[#This Row],[BMI]]&lt;18.5,"Underweight",IF(Table1[[#This Row],[BMI]]&lt;25,"Normal",IF(Table1[[#This Row],[BMI]]&lt;30,"Overweight","Obese")))</f>
        <v>Obese</v>
      </c>
      <c r="H755">
        <v>30</v>
      </c>
      <c r="I755">
        <v>0.48799999999999999</v>
      </c>
      <c r="J755" t="str">
        <f>IF(Table1[[#This Row],[Age]]&lt;30,"Young (&lt;30)",IF(Table1[[#This Row],[Age]]&lt;=50,"Middle Age (30-50)","Older (&gt;50)"))</f>
        <v>Middle Age (30-50)</v>
      </c>
      <c r="K755">
        <v>46</v>
      </c>
      <c r="L755">
        <v>0</v>
      </c>
    </row>
    <row r="756" spans="1:12" x14ac:dyDescent="0.3">
      <c r="A756">
        <v>13</v>
      </c>
      <c r="B756" t="str">
        <f>IF(Table1[[#This Row],[Glucose]]&lt;100,"Normal",IF(Table1[[#This Row],[Glucose]]&lt;126,"Prediabetes","High Risk"))</f>
        <v>High Risk</v>
      </c>
      <c r="C756">
        <v>145</v>
      </c>
      <c r="D756">
        <v>82</v>
      </c>
      <c r="E756">
        <v>19</v>
      </c>
      <c r="F756">
        <v>110</v>
      </c>
      <c r="G756" t="str">
        <f>IF(Table1[[#This Row],[BMI]]&lt;18.5,"Underweight",IF(Table1[[#This Row],[BMI]]&lt;25,"Normal",IF(Table1[[#This Row],[BMI]]&lt;30,"Overweight","Obese")))</f>
        <v>Normal</v>
      </c>
      <c r="H756">
        <v>22.2</v>
      </c>
      <c r="I756">
        <v>0.245</v>
      </c>
      <c r="J756" t="str">
        <f>IF(Table1[[#This Row],[Age]]&lt;30,"Young (&lt;30)",IF(Table1[[#This Row],[Age]]&lt;=50,"Middle Age (30-50)","Older (&gt;50)"))</f>
        <v>Older (&gt;50)</v>
      </c>
      <c r="K756">
        <v>57</v>
      </c>
      <c r="L756">
        <v>0</v>
      </c>
    </row>
    <row r="757" spans="1:12" x14ac:dyDescent="0.3">
      <c r="A757">
        <v>13</v>
      </c>
      <c r="B757" t="str">
        <f>IF(Table1[[#This Row],[Glucose]]&lt;100,"Normal",IF(Table1[[#This Row],[Glucose]]&lt;126,"Prediabetes","High Risk"))</f>
        <v>High Risk</v>
      </c>
      <c r="C757">
        <v>126</v>
      </c>
      <c r="D757">
        <v>90</v>
      </c>
      <c r="E757">
        <v>0</v>
      </c>
      <c r="F757">
        <v>0</v>
      </c>
      <c r="G757" t="str">
        <f>IF(Table1[[#This Row],[BMI]]&lt;18.5,"Underweight",IF(Table1[[#This Row],[BMI]]&lt;25,"Normal",IF(Table1[[#This Row],[BMI]]&lt;30,"Overweight","Obese")))</f>
        <v>Obese</v>
      </c>
      <c r="H757">
        <v>43.4</v>
      </c>
      <c r="I757">
        <v>0.58299999999999996</v>
      </c>
      <c r="J757" t="str">
        <f>IF(Table1[[#This Row],[Age]]&lt;30,"Young (&lt;30)",IF(Table1[[#This Row],[Age]]&lt;=50,"Middle Age (30-50)","Older (&gt;50)"))</f>
        <v>Middle Age (30-50)</v>
      </c>
      <c r="K757">
        <v>42</v>
      </c>
      <c r="L757">
        <v>1</v>
      </c>
    </row>
    <row r="758" spans="1:12" x14ac:dyDescent="0.3">
      <c r="A758">
        <v>13</v>
      </c>
      <c r="B758" t="str">
        <f>IF(Table1[[#This Row],[Glucose]]&lt;100,"Normal",IF(Table1[[#This Row],[Glucose]]&lt;126,"Prediabetes","High Risk"))</f>
        <v>Prediabetes</v>
      </c>
      <c r="C758">
        <v>106</v>
      </c>
      <c r="D758">
        <v>72</v>
      </c>
      <c r="E758">
        <v>54</v>
      </c>
      <c r="F758">
        <v>0</v>
      </c>
      <c r="G758" t="str">
        <f>IF(Table1[[#This Row],[BMI]]&lt;18.5,"Underweight",IF(Table1[[#This Row],[BMI]]&lt;25,"Normal",IF(Table1[[#This Row],[BMI]]&lt;30,"Overweight","Obese")))</f>
        <v>Obese</v>
      </c>
      <c r="H758">
        <v>36.6</v>
      </c>
      <c r="I758">
        <v>0.17799999999999999</v>
      </c>
      <c r="J758" t="str">
        <f>IF(Table1[[#This Row],[Age]]&lt;30,"Young (&lt;30)",IF(Table1[[#This Row],[Age]]&lt;=50,"Middle Age (30-50)","Older (&gt;50)"))</f>
        <v>Middle Age (30-50)</v>
      </c>
      <c r="K758">
        <v>45</v>
      </c>
      <c r="L758">
        <v>0</v>
      </c>
    </row>
    <row r="759" spans="1:12" x14ac:dyDescent="0.3">
      <c r="A759">
        <v>13</v>
      </c>
      <c r="B759" t="str">
        <f>IF(Table1[[#This Row],[Glucose]]&lt;100,"Normal",IF(Table1[[#This Row],[Glucose]]&lt;126,"Prediabetes","High Risk"))</f>
        <v>Prediabetes</v>
      </c>
      <c r="C759">
        <v>106</v>
      </c>
      <c r="D759">
        <v>70</v>
      </c>
      <c r="E759">
        <v>0</v>
      </c>
      <c r="F759">
        <v>0</v>
      </c>
      <c r="G759" t="str">
        <f>IF(Table1[[#This Row],[BMI]]&lt;18.5,"Underweight",IF(Table1[[#This Row],[BMI]]&lt;25,"Normal",IF(Table1[[#This Row],[BMI]]&lt;30,"Overweight","Obese")))</f>
        <v>Obese</v>
      </c>
      <c r="H759">
        <v>34.200000000000003</v>
      </c>
      <c r="I759">
        <v>0.251</v>
      </c>
      <c r="J759" t="str">
        <f>IF(Table1[[#This Row],[Age]]&lt;30,"Young (&lt;30)",IF(Table1[[#This Row],[Age]]&lt;=50,"Middle Age (30-50)","Older (&gt;50)"))</f>
        <v>Older (&gt;50)</v>
      </c>
      <c r="K759">
        <v>52</v>
      </c>
      <c r="L759">
        <v>0</v>
      </c>
    </row>
    <row r="760" spans="1:12" x14ac:dyDescent="0.3">
      <c r="A760">
        <v>13</v>
      </c>
      <c r="B760" t="str">
        <f>IF(Table1[[#This Row],[Glucose]]&lt;100,"Normal",IF(Table1[[#This Row],[Glucose]]&lt;126,"Prediabetes","High Risk"))</f>
        <v>High Risk</v>
      </c>
      <c r="C760">
        <v>152</v>
      </c>
      <c r="D760">
        <v>90</v>
      </c>
      <c r="E760">
        <v>33</v>
      </c>
      <c r="F760">
        <v>29</v>
      </c>
      <c r="G760" t="str">
        <f>IF(Table1[[#This Row],[BMI]]&lt;18.5,"Underweight",IF(Table1[[#This Row],[BMI]]&lt;25,"Normal",IF(Table1[[#This Row],[BMI]]&lt;30,"Overweight","Obese")))</f>
        <v>Overweight</v>
      </c>
      <c r="H760">
        <v>26.8</v>
      </c>
      <c r="I760">
        <v>0.73099999999999998</v>
      </c>
      <c r="J760" t="str">
        <f>IF(Table1[[#This Row],[Age]]&lt;30,"Young (&lt;30)",IF(Table1[[#This Row],[Age]]&lt;=50,"Middle Age (30-50)","Older (&gt;50)"))</f>
        <v>Middle Age (30-50)</v>
      </c>
      <c r="K760">
        <v>43</v>
      </c>
      <c r="L760">
        <v>1</v>
      </c>
    </row>
    <row r="761" spans="1:12" x14ac:dyDescent="0.3">
      <c r="A761">
        <v>13</v>
      </c>
      <c r="B761" t="str">
        <f>IF(Table1[[#This Row],[Glucose]]&lt;100,"Normal",IF(Table1[[#This Row],[Glucose]]&lt;126,"Prediabetes","High Risk"))</f>
        <v>High Risk</v>
      </c>
      <c r="C761">
        <v>129</v>
      </c>
      <c r="D761">
        <v>0</v>
      </c>
      <c r="E761">
        <v>30</v>
      </c>
      <c r="F761">
        <v>0</v>
      </c>
      <c r="G761" t="str">
        <f>IF(Table1[[#This Row],[BMI]]&lt;18.5,"Underweight",IF(Table1[[#This Row],[BMI]]&lt;25,"Normal",IF(Table1[[#This Row],[BMI]]&lt;30,"Overweight","Obese")))</f>
        <v>Obese</v>
      </c>
      <c r="H761">
        <v>39.9</v>
      </c>
      <c r="I761">
        <v>0.56899999999999995</v>
      </c>
      <c r="J761" t="str">
        <f>IF(Table1[[#This Row],[Age]]&lt;30,"Young (&lt;30)",IF(Table1[[#This Row],[Age]]&lt;=50,"Middle Age (30-50)","Older (&gt;50)"))</f>
        <v>Middle Age (30-50)</v>
      </c>
      <c r="K761">
        <v>44</v>
      </c>
      <c r="L761">
        <v>1</v>
      </c>
    </row>
    <row r="762" spans="1:12" x14ac:dyDescent="0.3">
      <c r="A762">
        <v>13</v>
      </c>
      <c r="B762" t="str">
        <f>IF(Table1[[#This Row],[Glucose]]&lt;100,"Normal",IF(Table1[[#This Row],[Glucose]]&lt;126,"Prediabetes","High Risk"))</f>
        <v>Normal</v>
      </c>
      <c r="C762">
        <v>76</v>
      </c>
      <c r="D762">
        <v>60</v>
      </c>
      <c r="E762">
        <v>0</v>
      </c>
      <c r="F762">
        <v>0</v>
      </c>
      <c r="G762" t="str">
        <f>IF(Table1[[#This Row],[BMI]]&lt;18.5,"Underweight",IF(Table1[[#This Row],[BMI]]&lt;25,"Normal",IF(Table1[[#This Row],[BMI]]&lt;30,"Overweight","Obese")))</f>
        <v>Obese</v>
      </c>
      <c r="H762">
        <v>32.799999999999997</v>
      </c>
      <c r="I762">
        <v>0.18</v>
      </c>
      <c r="J762" t="str">
        <f>IF(Table1[[#This Row],[Age]]&lt;30,"Young (&lt;30)",IF(Table1[[#This Row],[Age]]&lt;=50,"Middle Age (30-50)","Older (&gt;50)"))</f>
        <v>Middle Age (30-50)</v>
      </c>
      <c r="K762">
        <v>41</v>
      </c>
      <c r="L762">
        <v>0</v>
      </c>
    </row>
    <row r="763" spans="1:12" x14ac:dyDescent="0.3">
      <c r="A763">
        <v>13</v>
      </c>
      <c r="B763" t="str">
        <f>IF(Table1[[#This Row],[Glucose]]&lt;100,"Normal",IF(Table1[[#This Row],[Glucose]]&lt;126,"Prediabetes","High Risk"))</f>
        <v>Prediabetes</v>
      </c>
      <c r="C763">
        <v>104</v>
      </c>
      <c r="D763">
        <v>72</v>
      </c>
      <c r="E763">
        <v>0</v>
      </c>
      <c r="F763">
        <v>0</v>
      </c>
      <c r="G763" t="str">
        <f>IF(Table1[[#This Row],[BMI]]&lt;18.5,"Underweight",IF(Table1[[#This Row],[BMI]]&lt;25,"Normal",IF(Table1[[#This Row],[BMI]]&lt;30,"Overweight","Obese")))</f>
        <v>Obese</v>
      </c>
      <c r="H763">
        <v>31.2</v>
      </c>
      <c r="I763">
        <v>0.46500000000000002</v>
      </c>
      <c r="J763" t="str">
        <f>IF(Table1[[#This Row],[Age]]&lt;30,"Young (&lt;30)",IF(Table1[[#This Row],[Age]]&lt;=50,"Middle Age (30-50)","Older (&gt;50)"))</f>
        <v>Middle Age (30-50)</v>
      </c>
      <c r="K763">
        <v>38</v>
      </c>
      <c r="L763">
        <v>1</v>
      </c>
    </row>
    <row r="764" spans="1:12" x14ac:dyDescent="0.3">
      <c r="A764">
        <v>13</v>
      </c>
      <c r="B764" t="str">
        <f>IF(Table1[[#This Row],[Glucose]]&lt;100,"Normal",IF(Table1[[#This Row],[Glucose]]&lt;126,"Prediabetes","High Risk"))</f>
        <v>High Risk</v>
      </c>
      <c r="C764">
        <v>158</v>
      </c>
      <c r="D764">
        <v>114</v>
      </c>
      <c r="E764">
        <v>0</v>
      </c>
      <c r="F764">
        <v>0</v>
      </c>
      <c r="G764" t="str">
        <f>IF(Table1[[#This Row],[BMI]]&lt;18.5,"Underweight",IF(Table1[[#This Row],[BMI]]&lt;25,"Normal",IF(Table1[[#This Row],[BMI]]&lt;30,"Overweight","Obese")))</f>
        <v>Obese</v>
      </c>
      <c r="H764">
        <v>42.3</v>
      </c>
      <c r="I764">
        <v>0.25700000000000001</v>
      </c>
      <c r="J764" t="str">
        <f>IF(Table1[[#This Row],[Age]]&lt;30,"Young (&lt;30)",IF(Table1[[#This Row],[Age]]&lt;=50,"Middle Age (30-50)","Older (&gt;50)"))</f>
        <v>Middle Age (30-50)</v>
      </c>
      <c r="K764">
        <v>44</v>
      </c>
      <c r="L764">
        <v>1</v>
      </c>
    </row>
    <row r="765" spans="1:12" x14ac:dyDescent="0.3">
      <c r="A765">
        <v>13</v>
      </c>
      <c r="B765" t="str">
        <f>IF(Table1[[#This Row],[Glucose]]&lt;100,"Normal",IF(Table1[[#This Row],[Glucose]]&lt;126,"Prediabetes","High Risk"))</f>
        <v>High Risk</v>
      </c>
      <c r="C765">
        <v>153</v>
      </c>
      <c r="D765">
        <v>88</v>
      </c>
      <c r="E765">
        <v>37</v>
      </c>
      <c r="F765">
        <v>140</v>
      </c>
      <c r="G765" t="str">
        <f>IF(Table1[[#This Row],[BMI]]&lt;18.5,"Underweight",IF(Table1[[#This Row],[BMI]]&lt;25,"Normal",IF(Table1[[#This Row],[BMI]]&lt;30,"Overweight","Obese")))</f>
        <v>Obese</v>
      </c>
      <c r="H765">
        <v>40.6</v>
      </c>
      <c r="I765">
        <v>1.1739999999999999</v>
      </c>
      <c r="J765" t="str">
        <f>IF(Table1[[#This Row],[Age]]&lt;30,"Young (&lt;30)",IF(Table1[[#This Row],[Age]]&lt;=50,"Middle Age (30-50)","Older (&gt;50)"))</f>
        <v>Middle Age (30-50)</v>
      </c>
      <c r="K765">
        <v>39</v>
      </c>
      <c r="L765">
        <v>0</v>
      </c>
    </row>
    <row r="766" spans="1:12" x14ac:dyDescent="0.3">
      <c r="A766">
        <v>14</v>
      </c>
      <c r="B766" t="str">
        <f>IF(Table1[[#This Row],[Glucose]]&lt;100,"Normal",IF(Table1[[#This Row],[Glucose]]&lt;126,"Prediabetes","High Risk"))</f>
        <v>Prediabetes</v>
      </c>
      <c r="C766">
        <v>100</v>
      </c>
      <c r="D766">
        <v>78</v>
      </c>
      <c r="E766">
        <v>25</v>
      </c>
      <c r="F766">
        <v>184</v>
      </c>
      <c r="G766" t="str">
        <f>IF(Table1[[#This Row],[BMI]]&lt;18.5,"Underweight",IF(Table1[[#This Row],[BMI]]&lt;25,"Normal",IF(Table1[[#This Row],[BMI]]&lt;30,"Overweight","Obese")))</f>
        <v>Obese</v>
      </c>
      <c r="H766">
        <v>36.6</v>
      </c>
      <c r="I766">
        <v>0.41199999999999998</v>
      </c>
      <c r="J766" t="str">
        <f>IF(Table1[[#This Row],[Age]]&lt;30,"Young (&lt;30)",IF(Table1[[#This Row],[Age]]&lt;=50,"Middle Age (30-50)","Older (&gt;50)"))</f>
        <v>Middle Age (30-50)</v>
      </c>
      <c r="K766">
        <v>46</v>
      </c>
      <c r="L766">
        <v>1</v>
      </c>
    </row>
    <row r="767" spans="1:12" x14ac:dyDescent="0.3">
      <c r="A767">
        <v>14</v>
      </c>
      <c r="B767" t="str">
        <f>IF(Table1[[#This Row],[Glucose]]&lt;100,"Normal",IF(Table1[[#This Row],[Glucose]]&lt;126,"Prediabetes","High Risk"))</f>
        <v>High Risk</v>
      </c>
      <c r="C767">
        <v>175</v>
      </c>
      <c r="D767">
        <v>62</v>
      </c>
      <c r="E767">
        <v>30</v>
      </c>
      <c r="F767">
        <v>0</v>
      </c>
      <c r="G767" t="str">
        <f>IF(Table1[[#This Row],[BMI]]&lt;18.5,"Underweight",IF(Table1[[#This Row],[BMI]]&lt;25,"Normal",IF(Table1[[#This Row],[BMI]]&lt;30,"Overweight","Obese")))</f>
        <v>Obese</v>
      </c>
      <c r="H767">
        <v>33.6</v>
      </c>
      <c r="I767">
        <v>0.21199999999999999</v>
      </c>
      <c r="J767" t="str">
        <f>IF(Table1[[#This Row],[Age]]&lt;30,"Young (&lt;30)",IF(Table1[[#This Row],[Age]]&lt;=50,"Middle Age (30-50)","Older (&gt;50)"))</f>
        <v>Middle Age (30-50)</v>
      </c>
      <c r="K767">
        <v>38</v>
      </c>
      <c r="L767">
        <v>1</v>
      </c>
    </row>
    <row r="768" spans="1:12" x14ac:dyDescent="0.3">
      <c r="A768">
        <v>15</v>
      </c>
      <c r="B768" t="str">
        <f>IF(Table1[[#This Row],[Glucose]]&lt;100,"Normal",IF(Table1[[#This Row],[Glucose]]&lt;126,"Prediabetes","High Risk"))</f>
        <v>High Risk</v>
      </c>
      <c r="C768">
        <v>136</v>
      </c>
      <c r="D768">
        <v>70</v>
      </c>
      <c r="E768">
        <v>32</v>
      </c>
      <c r="F768">
        <v>110</v>
      </c>
      <c r="G768" t="str">
        <f>IF(Table1[[#This Row],[BMI]]&lt;18.5,"Underweight",IF(Table1[[#This Row],[BMI]]&lt;25,"Normal",IF(Table1[[#This Row],[BMI]]&lt;30,"Overweight","Obese")))</f>
        <v>Obese</v>
      </c>
      <c r="H768">
        <v>37.1</v>
      </c>
      <c r="I768">
        <v>0.153</v>
      </c>
      <c r="J768" t="str">
        <f>IF(Table1[[#This Row],[Age]]&lt;30,"Young (&lt;30)",IF(Table1[[#This Row],[Age]]&lt;=50,"Middle Age (30-50)","Older (&gt;50)"))</f>
        <v>Middle Age (30-50)</v>
      </c>
      <c r="K768">
        <v>43</v>
      </c>
      <c r="L768">
        <v>1</v>
      </c>
    </row>
    <row r="769" spans="1:12" x14ac:dyDescent="0.3">
      <c r="A769">
        <v>17</v>
      </c>
      <c r="B769" t="str">
        <f>IF(Table1[[#This Row],[Glucose]]&lt;100,"Normal",IF(Table1[[#This Row],[Glucose]]&lt;126,"Prediabetes","High Risk"))</f>
        <v>High Risk</v>
      </c>
      <c r="C769">
        <v>163</v>
      </c>
      <c r="D769">
        <v>72</v>
      </c>
      <c r="E769">
        <v>41</v>
      </c>
      <c r="F769">
        <v>114</v>
      </c>
      <c r="G769" t="str">
        <f>IF(Table1[[#This Row],[BMI]]&lt;18.5,"Underweight",IF(Table1[[#This Row],[BMI]]&lt;25,"Normal",IF(Table1[[#This Row],[BMI]]&lt;30,"Overweight","Obese")))</f>
        <v>Obese</v>
      </c>
      <c r="H769">
        <v>40.9</v>
      </c>
      <c r="I769">
        <v>0.81699999999999995</v>
      </c>
      <c r="J769" t="str">
        <f>IF(Table1[[#This Row],[Age]]&lt;30,"Young (&lt;30)",IF(Table1[[#This Row],[Age]]&lt;=50,"Middle Age (30-50)","Older (&gt;50)"))</f>
        <v>Middle Age (30-50)</v>
      </c>
      <c r="K769">
        <v>47</v>
      </c>
      <c r="L769">
        <v>1</v>
      </c>
    </row>
  </sheetData>
  <sortState xmlns:xlrd2="http://schemas.microsoft.com/office/spreadsheetml/2017/richdata2" ref="A2:K770">
    <sortCondition ref="A1:A770"/>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8202D-16D7-4C46-A358-DBDA62AA46D2}">
  <dimension ref="A2:N36"/>
  <sheetViews>
    <sheetView zoomScale="92" zoomScaleNormal="92" workbookViewId="0">
      <selection activeCell="A3" sqref="A3"/>
    </sheetView>
  </sheetViews>
  <sheetFormatPr defaultRowHeight="14.4" x14ac:dyDescent="0.3"/>
  <cols>
    <col min="1" max="1" width="13.109375" bestFit="1" customWidth="1"/>
    <col min="2" max="2" width="11.44140625" bestFit="1" customWidth="1"/>
    <col min="3" max="3" width="15.6640625" bestFit="1" customWidth="1"/>
    <col min="4" max="4" width="8.33203125" bestFit="1" customWidth="1"/>
    <col min="5" max="5" width="8" bestFit="1" customWidth="1"/>
    <col min="6" max="6" width="13.109375" bestFit="1" customWidth="1"/>
    <col min="7" max="7" width="15.6640625" bestFit="1" customWidth="1"/>
    <col min="8" max="8" width="15.109375" bestFit="1" customWidth="1"/>
    <col min="9" max="9" width="13.109375" bestFit="1" customWidth="1"/>
    <col min="10" max="10" width="10.33203125" bestFit="1" customWidth="1"/>
    <col min="11" max="11" width="14.21875" bestFit="1" customWidth="1"/>
    <col min="12" max="12" width="16.5546875" bestFit="1" customWidth="1"/>
    <col min="13" max="13" width="26" bestFit="1" customWidth="1"/>
    <col min="14" max="14" width="25.21875" bestFit="1" customWidth="1"/>
    <col min="15" max="15" width="11.44140625" bestFit="1" customWidth="1"/>
    <col min="16" max="18" width="12.77734375" bestFit="1" customWidth="1"/>
    <col min="19" max="19" width="13" bestFit="1" customWidth="1"/>
  </cols>
  <sheetData>
    <row r="2" spans="1:14" x14ac:dyDescent="0.3">
      <c r="A2" s="8" t="s">
        <v>19</v>
      </c>
      <c r="B2" s="9"/>
      <c r="C2" s="9"/>
      <c r="D2" s="9"/>
    </row>
    <row r="3" spans="1:14" x14ac:dyDescent="0.3">
      <c r="A3" s="1" t="s">
        <v>10</v>
      </c>
      <c r="B3" s="1" t="s">
        <v>11</v>
      </c>
      <c r="C3" s="1" t="s">
        <v>16</v>
      </c>
      <c r="D3" s="1" t="s">
        <v>17</v>
      </c>
      <c r="E3" s="1" t="s">
        <v>18</v>
      </c>
      <c r="F3" s="1" t="s">
        <v>15</v>
      </c>
      <c r="G3" s="1" t="s">
        <v>13</v>
      </c>
      <c r="H3" s="1" t="s">
        <v>12</v>
      </c>
      <c r="I3" s="1" t="s">
        <v>21</v>
      </c>
      <c r="J3" s="1" t="s">
        <v>22</v>
      </c>
      <c r="K3" s="1" t="s">
        <v>23</v>
      </c>
      <c r="L3" s="1" t="s">
        <v>9</v>
      </c>
      <c r="M3" s="1" t="s">
        <v>14</v>
      </c>
      <c r="N3" s="1" t="s">
        <v>20</v>
      </c>
    </row>
    <row r="4" spans="1:14" x14ac:dyDescent="0.3">
      <c r="A4" s="13">
        <v>768</v>
      </c>
      <c r="B4" s="13">
        <v>268</v>
      </c>
      <c r="C4" s="13">
        <v>500</v>
      </c>
      <c r="D4" s="5">
        <v>31.992578124999998</v>
      </c>
      <c r="E4" s="4">
        <v>33.240885416666664</v>
      </c>
      <c r="F4" s="2">
        <v>0.34895833333333331</v>
      </c>
      <c r="G4" s="13">
        <v>472</v>
      </c>
      <c r="H4" s="4">
        <v>3.8450520833333335</v>
      </c>
      <c r="I4" s="13">
        <v>396</v>
      </c>
      <c r="J4" s="13">
        <v>81</v>
      </c>
      <c r="K4" s="13">
        <v>219</v>
      </c>
      <c r="L4" s="6">
        <v>120.89453125</v>
      </c>
      <c r="M4" s="13">
        <v>192</v>
      </c>
      <c r="N4" s="13">
        <v>291</v>
      </c>
    </row>
    <row r="6" spans="1:14" ht="15.6" x14ac:dyDescent="0.3">
      <c r="A6" s="23" t="s">
        <v>49</v>
      </c>
      <c r="F6" t="s">
        <v>14</v>
      </c>
      <c r="G6" t="s">
        <v>13</v>
      </c>
    </row>
    <row r="7" spans="1:14" ht="15.6" x14ac:dyDescent="0.3">
      <c r="A7" s="3" t="s">
        <v>28</v>
      </c>
      <c r="B7" s="3" t="s">
        <v>17</v>
      </c>
      <c r="F7" s="10">
        <v>192</v>
      </c>
      <c r="G7" s="10">
        <v>472</v>
      </c>
      <c r="I7" s="27"/>
      <c r="J7" s="27"/>
      <c r="K7" s="27"/>
    </row>
    <row r="8" spans="1:14" ht="15.6" x14ac:dyDescent="0.3">
      <c r="A8" s="16">
        <v>0</v>
      </c>
      <c r="B8" s="19">
        <v>30.304200000000002</v>
      </c>
      <c r="I8" s="27"/>
      <c r="J8" s="27"/>
      <c r="K8" s="27"/>
    </row>
    <row r="9" spans="1:14" ht="15.6" x14ac:dyDescent="0.3">
      <c r="A9" s="16">
        <v>1</v>
      </c>
      <c r="B9" s="19">
        <v>35.14253731343284</v>
      </c>
      <c r="I9" s="27"/>
      <c r="J9" s="27"/>
      <c r="K9" s="27"/>
    </row>
    <row r="10" spans="1:14" ht="15.6" x14ac:dyDescent="0.3">
      <c r="A10" s="16" t="s">
        <v>24</v>
      </c>
      <c r="B10" s="19">
        <v>31.992578124999998</v>
      </c>
      <c r="F10" s="21" t="s">
        <v>39</v>
      </c>
      <c r="G10" s="21"/>
      <c r="I10" s="23" t="s">
        <v>50</v>
      </c>
      <c r="K10" s="27"/>
    </row>
    <row r="11" spans="1:14" x14ac:dyDescent="0.3">
      <c r="F11" s="24" t="s">
        <v>28</v>
      </c>
      <c r="G11" s="24" t="s">
        <v>36</v>
      </c>
      <c r="I11" s="3" t="s">
        <v>28</v>
      </c>
      <c r="J11" s="3" t="s">
        <v>44</v>
      </c>
    </row>
    <row r="12" spans="1:14" ht="15.6" x14ac:dyDescent="0.3">
      <c r="A12" s="28" t="s">
        <v>41</v>
      </c>
      <c r="B12" s="1"/>
      <c r="F12" s="25" t="s">
        <v>29</v>
      </c>
      <c r="G12" s="26">
        <v>291</v>
      </c>
      <c r="I12" s="16">
        <v>0</v>
      </c>
      <c r="J12" s="18">
        <v>68.792000000000002</v>
      </c>
    </row>
    <row r="13" spans="1:14" x14ac:dyDescent="0.3">
      <c r="A13" s="3" t="s">
        <v>28</v>
      </c>
      <c r="B13" s="3" t="s">
        <v>35</v>
      </c>
      <c r="F13" s="25" t="s">
        <v>30</v>
      </c>
      <c r="G13" s="26">
        <v>81</v>
      </c>
      <c r="I13" s="16">
        <v>1</v>
      </c>
      <c r="J13" s="19">
        <v>100.33582089552239</v>
      </c>
    </row>
    <row r="14" spans="1:14" x14ac:dyDescent="0.3">
      <c r="A14" s="16">
        <v>0</v>
      </c>
      <c r="B14" s="18">
        <v>109.98</v>
      </c>
      <c r="F14" s="25" t="s">
        <v>31</v>
      </c>
      <c r="G14" s="26">
        <v>396</v>
      </c>
      <c r="I14" s="16" t="s">
        <v>24</v>
      </c>
      <c r="J14" s="18">
        <v>79.799479166666671</v>
      </c>
    </row>
    <row r="15" spans="1:14" x14ac:dyDescent="0.3">
      <c r="A15" s="16">
        <v>1</v>
      </c>
      <c r="B15" s="18">
        <v>141.25746268656715</v>
      </c>
      <c r="F15" s="25" t="s">
        <v>24</v>
      </c>
      <c r="G15" s="26">
        <v>768</v>
      </c>
    </row>
    <row r="16" spans="1:14" x14ac:dyDescent="0.3">
      <c r="A16" s="16" t="s">
        <v>24</v>
      </c>
      <c r="B16" s="18">
        <v>120.89453125</v>
      </c>
    </row>
    <row r="17" spans="1:10" ht="15.6" x14ac:dyDescent="0.3">
      <c r="F17" s="20" t="s">
        <v>38</v>
      </c>
      <c r="I17" s="22" t="s">
        <v>40</v>
      </c>
    </row>
    <row r="18" spans="1:10" x14ac:dyDescent="0.3">
      <c r="A18" s="3" t="s">
        <v>28</v>
      </c>
      <c r="B18" s="3" t="s">
        <v>37</v>
      </c>
      <c r="C18" s="3" t="s">
        <v>36</v>
      </c>
      <c r="F18" s="3" t="s">
        <v>28</v>
      </c>
      <c r="G18" s="3" t="s">
        <v>36</v>
      </c>
      <c r="I18" s="3" t="s">
        <v>28</v>
      </c>
      <c r="J18" s="3" t="s">
        <v>10</v>
      </c>
    </row>
    <row r="19" spans="1:10" x14ac:dyDescent="0.3">
      <c r="A19" s="16">
        <v>0</v>
      </c>
      <c r="B19" s="14">
        <v>500</v>
      </c>
      <c r="C19" s="14">
        <v>500</v>
      </c>
      <c r="F19" s="16" t="s">
        <v>33</v>
      </c>
      <c r="G19" s="14">
        <v>297</v>
      </c>
      <c r="I19" s="16">
        <v>0</v>
      </c>
      <c r="J19" s="14">
        <v>500</v>
      </c>
    </row>
    <row r="20" spans="1:10" x14ac:dyDescent="0.3">
      <c r="A20" s="16">
        <v>1</v>
      </c>
      <c r="B20" s="14">
        <v>268</v>
      </c>
      <c r="C20" s="14">
        <v>268</v>
      </c>
      <c r="F20" s="16" t="s">
        <v>32</v>
      </c>
      <c r="G20" s="14">
        <v>197</v>
      </c>
      <c r="I20" s="16">
        <v>1</v>
      </c>
      <c r="J20" s="14">
        <v>268</v>
      </c>
    </row>
    <row r="21" spans="1:10" x14ac:dyDescent="0.3">
      <c r="A21" s="16" t="s">
        <v>24</v>
      </c>
      <c r="B21" s="14">
        <v>768</v>
      </c>
      <c r="C21" s="14">
        <v>768</v>
      </c>
      <c r="F21" s="16" t="s">
        <v>34</v>
      </c>
      <c r="G21" s="14">
        <v>274</v>
      </c>
      <c r="I21" s="16" t="s">
        <v>24</v>
      </c>
      <c r="J21" s="14">
        <v>768</v>
      </c>
    </row>
    <row r="22" spans="1:10" x14ac:dyDescent="0.3">
      <c r="F22" s="16" t="s">
        <v>24</v>
      </c>
      <c r="G22" s="14">
        <v>768</v>
      </c>
    </row>
    <row r="23" spans="1:10" x14ac:dyDescent="0.3">
      <c r="A23" s="17" t="s">
        <v>42</v>
      </c>
    </row>
    <row r="26" spans="1:10" x14ac:dyDescent="0.3">
      <c r="A26" s="15" t="s">
        <v>28</v>
      </c>
      <c r="B26" t="s">
        <v>35</v>
      </c>
      <c r="C26" t="s">
        <v>43</v>
      </c>
      <c r="D26" t="s">
        <v>44</v>
      </c>
      <c r="E26" t="s">
        <v>17</v>
      </c>
      <c r="F26" t="s">
        <v>11</v>
      </c>
      <c r="G26" t="s">
        <v>16</v>
      </c>
    </row>
    <row r="27" spans="1:10" x14ac:dyDescent="0.3">
      <c r="A27" s="7">
        <v>0</v>
      </c>
      <c r="B27" s="11">
        <v>109.98</v>
      </c>
      <c r="C27" s="12">
        <v>68.183999999999997</v>
      </c>
      <c r="D27" s="12">
        <v>68.792000000000002</v>
      </c>
      <c r="E27" s="12">
        <v>30.304200000000002</v>
      </c>
      <c r="F27" s="10">
        <v>0</v>
      </c>
      <c r="G27" s="10">
        <v>500</v>
      </c>
    </row>
    <row r="28" spans="1:10" x14ac:dyDescent="0.3">
      <c r="A28" s="7">
        <v>1</v>
      </c>
      <c r="B28" s="11">
        <v>141.25746268656715</v>
      </c>
      <c r="C28" s="12">
        <v>70.824626865671647</v>
      </c>
      <c r="D28" s="12">
        <v>100.33582089552239</v>
      </c>
      <c r="E28" s="12">
        <v>35.14253731343284</v>
      </c>
      <c r="F28" s="10">
        <v>268</v>
      </c>
      <c r="G28" s="10">
        <v>0</v>
      </c>
    </row>
    <row r="29" spans="1:10" x14ac:dyDescent="0.3">
      <c r="A29" s="7" t="s">
        <v>24</v>
      </c>
      <c r="B29" s="11">
        <v>120.89453125</v>
      </c>
      <c r="C29" s="12">
        <v>69.10546875</v>
      </c>
      <c r="D29" s="12">
        <v>79.799479166666671</v>
      </c>
      <c r="E29" s="12">
        <v>31.992578124999998</v>
      </c>
      <c r="F29" s="10">
        <v>268</v>
      </c>
      <c r="G29" s="10">
        <v>500</v>
      </c>
    </row>
    <row r="32" spans="1:10" ht="15.6" x14ac:dyDescent="0.3">
      <c r="A32" s="32" t="s">
        <v>46</v>
      </c>
      <c r="B32" s="32" t="s">
        <v>47</v>
      </c>
      <c r="C32" s="32" t="s">
        <v>48</v>
      </c>
    </row>
    <row r="33" spans="1:3" ht="15.6" x14ac:dyDescent="0.3">
      <c r="A33" s="30" t="s">
        <v>1</v>
      </c>
      <c r="B33" s="30">
        <v>110</v>
      </c>
      <c r="C33" s="30">
        <v>141.30000000000001</v>
      </c>
    </row>
    <row r="34" spans="1:3" ht="15.6" x14ac:dyDescent="0.3">
      <c r="A34" s="29" t="s">
        <v>45</v>
      </c>
      <c r="B34" s="29">
        <v>68.180000000000007</v>
      </c>
      <c r="C34" s="29">
        <v>70.819999999999993</v>
      </c>
    </row>
    <row r="35" spans="1:3" ht="15.6" x14ac:dyDescent="0.3">
      <c r="A35" s="30" t="s">
        <v>4</v>
      </c>
      <c r="B35" s="30">
        <v>68.7</v>
      </c>
      <c r="C35" s="30">
        <v>100.34</v>
      </c>
    </row>
    <row r="36" spans="1:3" ht="15.6" x14ac:dyDescent="0.3">
      <c r="A36" s="31" t="s">
        <v>5</v>
      </c>
      <c r="B36" s="31">
        <v>30.3</v>
      </c>
      <c r="C36" s="31">
        <v>35.14</v>
      </c>
    </row>
  </sheetData>
  <mergeCells count="1">
    <mergeCell ref="A2:D2"/>
  </mergeCells>
  <pageMargins left="0.7" right="0.7" top="0.75" bottom="0.75" header="0.3" footer="0.3"/>
  <tableParts count="1">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29FAD-EEE4-43DA-94CE-50BC77910DF8}">
  <dimension ref="A1"/>
  <sheetViews>
    <sheetView showGridLines="0" showRowColHeaders="0" tabSelected="1" zoomScale="40" zoomScaleNormal="40" workbookViewId="0">
      <selection activeCell="AS35" sqref="AS3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��e"e"  
</file>

<file path=customXml/item2.xml>��
</file>

<file path=customXml/item3.xml>��
</file>

<file path=customXml/item4.xml>��
</file>

<file path=customXml/item5.xml>��e"e"  
</file>

<file path=customXml/item6.xml>��
</file>

<file path=customXml/item7.xml>��e"e"  
</file>

<file path=customXml/item8.xml>��
</file>

<file path=customXml/item9.xml>��
</file>

<file path=customXml/item10.xml>��
</file>

<file path=customXml/item11.xml>��e"e"e"   e"e"e"   e" e" 
</file>

<file path=customXml/item12.xml>��
</file>

<file path=customXml/item13.xml>��
</file>

<file path=customXml/item14.xml>��
</file>

<file path=customXml/item15.xml>��
</file>

<file path=customXml/item16.xml>��e"e"  
</file>

<file path=customXml/item17.xml>��e"e"  
</file>

<file path=customXml/item18.xml>��e"e"  
</file>

<file path=customXml/item19.xml>��e"e"  
</file>

<file path=customXml/item20.xml>��e"e"  
</file>

<file path=customXml/item21.xml>��e"e"  
</file>

<file path=customXml/item22.xml>��e"e"  
</file>

<file path=customXml/item23.xml>��e"e"  
</file>

<file path=customXml/item24.xml>��e"e" 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0F769BD1-EB8C-4B4F-8BD8-BB19E061528E}">
  <ds:schemaRefs/>
</ds:datastoreItem>
</file>

<file path=customXml/itemProps2.xml><?xml version="1.0" encoding="utf-8"?>
<ds:datastoreItem xmlns:ds="http://schemas.openxmlformats.org/officeDocument/2006/customXml" ds:itemID="{DCAED2FC-1D41-47EB-86BB-A56A7C480248}">
  <ds:schemaRefs/>
</ds:datastoreItem>
</file>

<file path=customXml/itemProps3.xml><?xml version="1.0" encoding="utf-8"?>
<ds:datastoreItem xmlns:ds="http://schemas.openxmlformats.org/officeDocument/2006/customXml" ds:itemID="{BFCEE534-6E1F-4E14-BA69-A5038AF1F973}">
  <ds:schemaRefs/>
</ds:datastoreItem>
</file>

<file path=customXml/itemProps4.xml><?xml version="1.0" encoding="utf-8"?>
<ds:datastoreItem xmlns:ds="http://schemas.openxmlformats.org/officeDocument/2006/customXml" ds:itemID="{B13139E5-E5B2-4705-8336-B7A4B7B172BD}">
  <ds:schemaRefs/>
</ds:datastoreItem>
</file>

<file path=customXml/itemProps5.xml><?xml version="1.0" encoding="utf-8"?>
<ds:datastoreItem xmlns:ds="http://schemas.openxmlformats.org/officeDocument/2006/customXml" ds:itemID="{463DBAD5-8C86-4528-97E5-CD5AD0CAF9A0}">
  <ds:schemaRefs/>
</ds:datastoreItem>
</file>

<file path=customXml/itemProps6.xml><?xml version="1.0" encoding="utf-8"?>
<ds:datastoreItem xmlns:ds="http://schemas.openxmlformats.org/officeDocument/2006/customXml" ds:itemID="{78202BB1-FD13-405A-833D-734709E8F50A}">
  <ds:schemaRefs/>
</ds:datastoreItem>
</file>

<file path=customXml/itemProps7.xml><?xml version="1.0" encoding="utf-8"?>
<ds:datastoreItem xmlns:ds="http://schemas.openxmlformats.org/officeDocument/2006/customXml" ds:itemID="{73AABDB2-F1FC-4435-A921-F9E82BE879F1}">
  <ds:schemaRefs/>
</ds:datastoreItem>
</file>

<file path=customXml/itemProps8.xml><?xml version="1.0" encoding="utf-8"?>
<ds:datastoreItem xmlns:ds="http://schemas.openxmlformats.org/officeDocument/2006/customXml" ds:itemID="{F8DCCE28-4499-4C01-906E-9B6839201842}">
  <ds:schemaRefs/>
</ds:datastoreItem>
</file>

<file path=customXml/itemProps9.xml><?xml version="1.0" encoding="utf-8"?>
<ds:datastoreItem xmlns:ds="http://schemas.openxmlformats.org/officeDocument/2006/customXml" ds:itemID="{BD9E4297-A7FD-405C-B150-9D71EF10B252}">
  <ds:schemaRefs/>
</ds:datastoreItem>
</file>

<file path=customXml/itemProps10.xml><?xml version="1.0" encoding="utf-8"?>
<ds:datastoreItem xmlns:ds="http://schemas.openxmlformats.org/officeDocument/2006/customXml" ds:itemID="{0BE48B8E-7D02-4E10-845E-86553029D66C}">
  <ds:schemaRefs/>
</ds:datastoreItem>
</file>

<file path=customXml/itemProps11.xml><?xml version="1.0" encoding="utf-8"?>
<ds:datastoreItem xmlns:ds="http://schemas.openxmlformats.org/officeDocument/2006/customXml" ds:itemID="{EDA11406-C16C-4FAB-B333-A60BFF1DD012}">
  <ds:schemaRefs/>
</ds:datastoreItem>
</file>

<file path=customXml/itemProps12.xml><?xml version="1.0" encoding="utf-8"?>
<ds:datastoreItem xmlns:ds="http://schemas.openxmlformats.org/officeDocument/2006/customXml" ds:itemID="{2FBC9A59-D8A2-482A-9F88-33AEB2CF68C5}">
  <ds:schemaRefs/>
</ds:datastoreItem>
</file>

<file path=customXml/itemProps13.xml><?xml version="1.0" encoding="utf-8"?>
<ds:datastoreItem xmlns:ds="http://schemas.openxmlformats.org/officeDocument/2006/customXml" ds:itemID="{BEF9E7FD-9960-4691-9BC6-05D5B5D06EFF}">
  <ds:schemaRefs/>
</ds:datastoreItem>
</file>

<file path=customXml/itemProps14.xml><?xml version="1.0" encoding="utf-8"?>
<ds:datastoreItem xmlns:ds="http://schemas.openxmlformats.org/officeDocument/2006/customXml" ds:itemID="{42495186-ADE7-4E6C-B57D-F24228279904}">
  <ds:schemaRefs/>
</ds:datastoreItem>
</file>

<file path=customXml/itemProps15.xml><?xml version="1.0" encoding="utf-8"?>
<ds:datastoreItem xmlns:ds="http://schemas.openxmlformats.org/officeDocument/2006/customXml" ds:itemID="{25D0A307-7959-44DD-B54A-F5523B008190}">
  <ds:schemaRefs>
    <ds:schemaRef ds:uri="http://schemas.microsoft.com/DataMashup"/>
  </ds:schemaRefs>
</ds:datastoreItem>
</file>

<file path=customXml/itemProps16.xml><?xml version="1.0" encoding="utf-8"?>
<ds:datastoreItem xmlns:ds="http://schemas.openxmlformats.org/officeDocument/2006/customXml" ds:itemID="{49B32D5F-C1AD-4019-BF17-49A2D90ACA72}">
  <ds:schemaRefs/>
</ds:datastoreItem>
</file>

<file path=customXml/itemProps17.xml><?xml version="1.0" encoding="utf-8"?>
<ds:datastoreItem xmlns:ds="http://schemas.openxmlformats.org/officeDocument/2006/customXml" ds:itemID="{D0D4573E-BC35-4345-BC9B-1BFF8EA1639D}">
  <ds:schemaRefs/>
</ds:datastoreItem>
</file>

<file path=customXml/itemProps18.xml><?xml version="1.0" encoding="utf-8"?>
<ds:datastoreItem xmlns:ds="http://schemas.openxmlformats.org/officeDocument/2006/customXml" ds:itemID="{843B8035-9396-4D34-BE2C-05D5758602A0}">
  <ds:schemaRefs/>
</ds:datastoreItem>
</file>

<file path=customXml/itemProps19.xml><?xml version="1.0" encoding="utf-8"?>
<ds:datastoreItem xmlns:ds="http://schemas.openxmlformats.org/officeDocument/2006/customXml" ds:itemID="{65904328-3DE0-4117-8D61-41A7595F4A8B}">
  <ds:schemaRefs/>
</ds:datastoreItem>
</file>

<file path=customXml/itemProps20.xml><?xml version="1.0" encoding="utf-8"?>
<ds:datastoreItem xmlns:ds="http://schemas.openxmlformats.org/officeDocument/2006/customXml" ds:itemID="{9172C459-1DA7-48D9-88CA-1199286A9101}">
  <ds:schemaRefs/>
</ds:datastoreItem>
</file>

<file path=customXml/itemProps21.xml><?xml version="1.0" encoding="utf-8"?>
<ds:datastoreItem xmlns:ds="http://schemas.openxmlformats.org/officeDocument/2006/customXml" ds:itemID="{865C5E14-1EEB-4C7A-875C-F918E57E68EF}">
  <ds:schemaRefs/>
</ds:datastoreItem>
</file>

<file path=customXml/itemProps22.xml><?xml version="1.0" encoding="utf-8"?>
<ds:datastoreItem xmlns:ds="http://schemas.openxmlformats.org/officeDocument/2006/customXml" ds:itemID="{AA4B3448-7A07-4155-BD36-15E89F3C5D61}">
  <ds:schemaRefs/>
</ds:datastoreItem>
</file>

<file path=customXml/itemProps23.xml><?xml version="1.0" encoding="utf-8"?>
<ds:datastoreItem xmlns:ds="http://schemas.openxmlformats.org/officeDocument/2006/customXml" ds:itemID="{0310F5C8-D1D2-4A24-9570-523138B7C7AA}">
  <ds:schemaRefs/>
</ds:datastoreItem>
</file>

<file path=customXml/itemProps24.xml><?xml version="1.0" encoding="utf-8"?>
<ds:datastoreItem xmlns:ds="http://schemas.openxmlformats.org/officeDocument/2006/customXml" ds:itemID="{7E3D9BC8-1B06-4504-9DD1-82FC62D8B2F9}">
  <ds:schemaRefs/>
</ds:datastoreItem>
</file>

<file path=customXml/itemProps25.xml><?xml version="1.0" encoding="utf-8"?>
<ds:datastoreItem xmlns:ds="http://schemas.openxmlformats.org/officeDocument/2006/customXml" ds:itemID="{9FD44CF5-D95D-451C-8527-846DD02B8D18}">
  <ds:schemaRefs/>
</ds:datastoreItem>
</file>

<file path=customXml/itemProps26.xml><?xml version="1.0" encoding="utf-8"?>
<ds:datastoreItem xmlns:ds="http://schemas.openxmlformats.org/officeDocument/2006/customXml" ds:itemID="{D7EB01CF-0872-4C62-BF1F-B51FD4268A5A}">
  <ds:schemaRefs/>
</ds:datastoreItem>
</file>

<file path=customXml/itemProps27.xml><?xml version="1.0" encoding="utf-8"?>
<ds:datastoreItem xmlns:ds="http://schemas.openxmlformats.org/officeDocument/2006/customXml" ds:itemID="{6315ED04-978E-45A1-B2E7-085BF338603C}">
  <ds:schemaRefs/>
</ds:datastoreItem>
</file>

<file path=customXml/itemProps28.xml><?xml version="1.0" encoding="utf-8"?>
<ds:datastoreItem xmlns:ds="http://schemas.openxmlformats.org/officeDocument/2006/customXml" ds:itemID="{FB4BEFAA-DCFB-4191-AFB8-1A5FA306CC83}">
  <ds:schemaRefs/>
</ds:datastoreItem>
</file>

<file path=customXml/itemProps29.xml><?xml version="1.0" encoding="utf-8"?>
<ds:datastoreItem xmlns:ds="http://schemas.openxmlformats.org/officeDocument/2006/customXml" ds:itemID="{B75FCBDD-C131-4D1E-BD6F-654FBAC11D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diabetes</vt:lpstr>
      <vt:lpstr>DATASET</vt:lpstr>
      <vt:lpstr>ANALYSIS 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Damilola Olanrewaju</cp:lastModifiedBy>
  <cp:lastPrinted>2026-06-15T21:46:49Z</cp:lastPrinted>
  <dcterms:created xsi:type="dcterms:W3CDTF">2026-06-09T21:47:13Z</dcterms:created>
  <dcterms:modified xsi:type="dcterms:W3CDTF">2026-06-16T22:16:10Z</dcterms:modified>
</cp:coreProperties>
</file>